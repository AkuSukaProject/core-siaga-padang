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RR-I CONSULTANT - UCHIE\2013\PROJECT\RENEVAK BNPB\LAPORAN\SUMATERA\Dokumen Renevak\TABEL\tabel padang\"/>
    </mc:Choice>
  </mc:AlternateContent>
  <bookViews>
    <workbookView xWindow="15" yWindow="5370" windowWidth="19320" windowHeight="5715" tabRatio="895"/>
  </bookViews>
  <sheets>
    <sheet name="TSUNAMI" sheetId="4" r:id="rId1"/>
  </sheets>
  <definedNames>
    <definedName name="_xlnm.Print_Titles" localSheetId="0">TSUNAMI!$1:$4</definedName>
  </definedNames>
  <calcPr calcId="152511"/>
</workbook>
</file>

<file path=xl/calcChain.xml><?xml version="1.0" encoding="utf-8"?>
<calcChain xmlns="http://schemas.openxmlformats.org/spreadsheetml/2006/main">
  <c r="O78" i="4" l="1"/>
  <c r="O79" i="4"/>
  <c r="O80" i="4"/>
  <c r="O5" i="4" l="1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</calcChain>
</file>

<file path=xl/sharedStrings.xml><?xml version="1.0" encoding="utf-8"?>
<sst xmlns="http://schemas.openxmlformats.org/spreadsheetml/2006/main" count="628" uniqueCount="185">
  <si>
    <t>NO</t>
  </si>
  <si>
    <t>KECAMATAN</t>
  </si>
  <si>
    <t>DESA</t>
  </si>
  <si>
    <t>JENIS BAHAYA</t>
  </si>
  <si>
    <t>BAHAYA</t>
  </si>
  <si>
    <t>JUMLAH JIWA TERPAPAR (JIWA)</t>
  </si>
  <si>
    <t>POTENSI KERUGIAN  (Dalam Juta)</t>
  </si>
  <si>
    <t xml:space="preserve"> KERUSAKAN LINGKUNGAN (Ha)</t>
  </si>
  <si>
    <t>KELAS KAPASITAS</t>
  </si>
  <si>
    <t>KELAS RISIKO</t>
  </si>
  <si>
    <t>KELAS BAHAYA</t>
  </si>
  <si>
    <t>KERUGIAN FISIK</t>
  </si>
  <si>
    <t xml:space="preserve"> KERUGIAN EKONOMI</t>
  </si>
  <si>
    <t>KELAS KERENTANAN</t>
  </si>
  <si>
    <t>TINGGI</t>
  </si>
  <si>
    <t>SEDANG</t>
  </si>
  <si>
    <t>RENDAH</t>
  </si>
  <si>
    <t>TSUNAMI</t>
  </si>
  <si>
    <t>KELOMPOK RENTAN</t>
  </si>
  <si>
    <t>KELOMPOK UMUR RENTAN (JIWA)</t>
  </si>
  <si>
    <t>PENDUDUK MISKIN (JIWA)</t>
  </si>
  <si>
    <t>PENDUDUK CACAT (JIWA)</t>
  </si>
  <si>
    <t>JATI</t>
  </si>
  <si>
    <t>IDSP</t>
  </si>
  <si>
    <t>3301090001</t>
  </si>
  <si>
    <t>3301090004</t>
  </si>
  <si>
    <t>3301121001</t>
  </si>
  <si>
    <t>3301121002</t>
  </si>
  <si>
    <t>3301121003</t>
  </si>
  <si>
    <t>3301121004</t>
  </si>
  <si>
    <t>3301130002</t>
  </si>
  <si>
    <t>3301140001</t>
  </si>
  <si>
    <t>3301140002</t>
  </si>
  <si>
    <t>3301140003</t>
  </si>
  <si>
    <t>3301140004</t>
  </si>
  <si>
    <t>3301140006</t>
  </si>
  <si>
    <t>3301140007</t>
  </si>
  <si>
    <t>3301140008</t>
  </si>
  <si>
    <t>3301150001</t>
  </si>
  <si>
    <t>3301150002</t>
  </si>
  <si>
    <t>3301150003</t>
  </si>
  <si>
    <t>3301150004</t>
  </si>
  <si>
    <t>3301150005</t>
  </si>
  <si>
    <t>3301150006</t>
  </si>
  <si>
    <t>3301150007</t>
  </si>
  <si>
    <t>3301150008</t>
  </si>
  <si>
    <t>3301150009</t>
  </si>
  <si>
    <t>3301150010</t>
  </si>
  <si>
    <t>3301150011</t>
  </si>
  <si>
    <t>3301150012</t>
  </si>
  <si>
    <t>3301150013</t>
  </si>
  <si>
    <t>3301150014</t>
  </si>
  <si>
    <t>3301150015</t>
  </si>
  <si>
    <t>3301180001</t>
  </si>
  <si>
    <t>3301180002</t>
  </si>
  <si>
    <t>3301180003</t>
  </si>
  <si>
    <t>3301180011</t>
  </si>
  <si>
    <t>3301190001</t>
  </si>
  <si>
    <t>3301190002</t>
  </si>
  <si>
    <t>3301190003</t>
  </si>
  <si>
    <t>3301190004</t>
  </si>
  <si>
    <t>3301190005</t>
  </si>
  <si>
    <t>3301190006</t>
  </si>
  <si>
    <t>3301190007</t>
  </si>
  <si>
    <t>3301190009</t>
  </si>
  <si>
    <t>3301190010</t>
  </si>
  <si>
    <t>3301190011</t>
  </si>
  <si>
    <t>3301190012</t>
  </si>
  <si>
    <t>3301190014</t>
  </si>
  <si>
    <t>3301190015</t>
  </si>
  <si>
    <t>3301190016</t>
  </si>
  <si>
    <t>3301190017</t>
  </si>
  <si>
    <t>3301200001</t>
  </si>
  <si>
    <t>3301200002</t>
  </si>
  <si>
    <t>3301200003</t>
  </si>
  <si>
    <t>3301200004</t>
  </si>
  <si>
    <t>3301200005</t>
  </si>
  <si>
    <t>3301200006</t>
  </si>
  <si>
    <t>3301200007</t>
  </si>
  <si>
    <t>3301200008</t>
  </si>
  <si>
    <t>3301200009</t>
  </si>
  <si>
    <t>3301200010</t>
  </si>
  <si>
    <t>3301710001</t>
  </si>
  <si>
    <t>3301710002</t>
  </si>
  <si>
    <t>3301710003</t>
  </si>
  <si>
    <t>3301710004</t>
  </si>
  <si>
    <t>3301710005</t>
  </si>
  <si>
    <t>3301720001</t>
  </si>
  <si>
    <t>3301720002</t>
  </si>
  <si>
    <t>3301720003</t>
  </si>
  <si>
    <t>3301720004</t>
  </si>
  <si>
    <t>3301720005</t>
  </si>
  <si>
    <t>3301730001</t>
  </si>
  <si>
    <t>3301730002</t>
  </si>
  <si>
    <t>3301730003</t>
  </si>
  <si>
    <t>3301730004</t>
  </si>
  <si>
    <t>3301730005</t>
  </si>
  <si>
    <t>TABEL KAJIAN RISIKO BENCANA KOTA PADANG, SUMATERA BARAT</t>
  </si>
  <si>
    <t>BUNGUS TELUK KABUNG</t>
  </si>
  <si>
    <t>KOTO TANGAH</t>
  </si>
  <si>
    <t>KURANJI</t>
  </si>
  <si>
    <t>LUBUK BEGALUNG</t>
  </si>
  <si>
    <t>NANGGALO</t>
  </si>
  <si>
    <t>PADANG BARAT</t>
  </si>
  <si>
    <t>PADANG SELATAN</t>
  </si>
  <si>
    <t>PADANG TIMUR</t>
  </si>
  <si>
    <t>PADANG UTARA</t>
  </si>
  <si>
    <t>BUNGUS SELATAN</t>
  </si>
  <si>
    <t>BUNGUS BARAT</t>
  </si>
  <si>
    <t>TELUK KABUNG UTARA</t>
  </si>
  <si>
    <t>BUNGUS TIMUR</t>
  </si>
  <si>
    <t>TELUK KABUNG SELATAN</t>
  </si>
  <si>
    <t>TELUK KABUNG TENGAH</t>
  </si>
  <si>
    <t>BATIPUH PANJANG</t>
  </si>
  <si>
    <t>KOTO PANJANG IKUA KOTO</t>
  </si>
  <si>
    <t>KOTO PULAI</t>
  </si>
  <si>
    <t>PASIR NAN TIGO</t>
  </si>
  <si>
    <t>AIR PACAH</t>
  </si>
  <si>
    <t>BATANG KABUNG</t>
  </si>
  <si>
    <t>BUNGO PASANG</t>
  </si>
  <si>
    <t>PADANG SARAI</t>
  </si>
  <si>
    <t>DADOK TUNGGUL HITAM</t>
  </si>
  <si>
    <t>LUBUK BUAYA</t>
  </si>
  <si>
    <t>PARUPUK TABING</t>
  </si>
  <si>
    <t>BALAI GADANG</t>
  </si>
  <si>
    <t>AMPANG</t>
  </si>
  <si>
    <t>ANDURING</t>
  </si>
  <si>
    <t>GUNUNG SARIK</t>
  </si>
  <si>
    <t>KALUMBUK</t>
  </si>
  <si>
    <t>SUNGAI SAPIH</t>
  </si>
  <si>
    <t>LUBUK LINTAH</t>
  </si>
  <si>
    <t>PASAR AMBACANG</t>
  </si>
  <si>
    <t>GATES NAN XX</t>
  </si>
  <si>
    <t>PARAK LAWEH PULAU AIR NAN XX</t>
  </si>
  <si>
    <t>KOTO BARU NAN XX</t>
  </si>
  <si>
    <t>GURUN LAWEH NAN XX</t>
  </si>
  <si>
    <t>TANJUANG AUR NAN XX</t>
  </si>
  <si>
    <t>LUBUK BEGALUNG NAN XX</t>
  </si>
  <si>
    <t>PAMPANGAN NAN XX</t>
  </si>
  <si>
    <t>BANUARAN NAN XX</t>
  </si>
  <si>
    <t>SURAU GADANG</t>
  </si>
  <si>
    <t>TABIANG BANDA GADANG</t>
  </si>
  <si>
    <t>KURAO PAGANG</t>
  </si>
  <si>
    <t>GURUN LAWEH</t>
  </si>
  <si>
    <t>KAMPUNG LAPAI BARU</t>
  </si>
  <si>
    <t>KAMPUNG OLO</t>
  </si>
  <si>
    <t>PADANG PASIR</t>
  </si>
  <si>
    <t>PURUS</t>
  </si>
  <si>
    <t>OLO</t>
  </si>
  <si>
    <t>KAMPUNG JAO</t>
  </si>
  <si>
    <t>UJUNG GURUN</t>
  </si>
  <si>
    <t>RIMBO KALUANG</t>
  </si>
  <si>
    <t>BELAKANG TANGSI</t>
  </si>
  <si>
    <t>FLAMBOYAN BARU</t>
  </si>
  <si>
    <t>KAMPUNG PONDOK</t>
  </si>
  <si>
    <t>ALANG LAWEH</t>
  </si>
  <si>
    <t>MATO AIE</t>
  </si>
  <si>
    <t>RAWANG</t>
  </si>
  <si>
    <t>RANAH PARAK RUMBIO</t>
  </si>
  <si>
    <t>BATANG ARAU</t>
  </si>
  <si>
    <t>BUKIK GADO GADO</t>
  </si>
  <si>
    <t>AIR MANIS</t>
  </si>
  <si>
    <t>SEBERANG PADANG</t>
  </si>
  <si>
    <t>SEBERANG PALINGGAM</t>
  </si>
  <si>
    <t>TALUAK BAYUA</t>
  </si>
  <si>
    <t>BELAKANG PONDOK</t>
  </si>
  <si>
    <t>PARAK GADANG TIMUR</t>
  </si>
  <si>
    <t>SAWAHAN</t>
  </si>
  <si>
    <t>SAWAHAN TIMUR</t>
  </si>
  <si>
    <t>ANDALAS</t>
  </si>
  <si>
    <t>JATI BARU</t>
  </si>
  <si>
    <t>KUBU MARAPALAM</t>
  </si>
  <si>
    <t>SIMPANG HARU</t>
  </si>
  <si>
    <t>GANTING PARAK GADANG</t>
  </si>
  <si>
    <t>KUBU PARAK KARAKAH</t>
  </si>
  <si>
    <t>AIR TAWAR TIMUR</t>
  </si>
  <si>
    <t>ALAI PARAK KOPI</t>
  </si>
  <si>
    <t>GUNUNG PANGILUN</t>
  </si>
  <si>
    <t>AIR TAWAR BARAT</t>
  </si>
  <si>
    <t>LOLONG BELANTI</t>
  </si>
  <si>
    <t>ULAK KARANG SELATAN</t>
  </si>
  <si>
    <t>ULAK KARANG UTARA</t>
  </si>
  <si>
    <t xml:space="preserve">POTENSI KERUGIAN </t>
  </si>
  <si>
    <t>RATIO JENIS KELAMIN (%)</t>
  </si>
  <si>
    <t>LUAS BAHAYA  (Ha)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</si>
</sst>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* #,##0.00_);_(* \(#,##0.00\);_(* &quot;-&quot;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41" fontId="1" fillId="0" borderId="0" xfId="1" applyFont="1" applyAlignment="1">
      <alignment horizontal="center"/>
    </xf>
    <xf numFmtId="0" fontId="3" fillId="2" borderId="1" xfId="0" applyNumberFormat="1" applyFont="1" applyFill="1" applyBorder="1" applyAlignment="1">
      <alignment horizontal="center" vertical="center" wrapText="1"/>
    </xf>
    <xf numFmtId="41" fontId="3" fillId="2" borderId="1" xfId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64" fontId="1" fillId="0" borderId="0" xfId="1" applyNumberFormat="1" applyFont="1" applyAlignment="1">
      <alignment horizontal="center"/>
    </xf>
    <xf numFmtId="165" fontId="1" fillId="0" borderId="0" xfId="1" applyNumberFormat="1" applyFont="1" applyAlignment="1">
      <alignment horizontal="center"/>
    </xf>
    <xf numFmtId="0" fontId="0" fillId="0" borderId="1" xfId="0" applyBorder="1" applyAlignment="1">
      <alignment horizontal="center" vertical="top" wrapText="1"/>
    </xf>
    <xf numFmtId="1" fontId="0" fillId="0" borderId="1" xfId="0" applyNumberFormat="1" applyBorder="1" applyAlignment="1">
      <alignment horizontal="left" vertical="top" wrapText="1"/>
    </xf>
    <xf numFmtId="1" fontId="0" fillId="0" borderId="1" xfId="0" applyNumberFormat="1" applyBorder="1" applyAlignment="1">
      <alignment vertical="top" wrapText="1"/>
    </xf>
    <xf numFmtId="43" fontId="0" fillId="0" borderId="1" xfId="3" applyNumberFormat="1" applyFont="1" applyBorder="1" applyAlignment="1">
      <alignment vertical="top" wrapText="1"/>
    </xf>
    <xf numFmtId="164" fontId="0" fillId="0" borderId="1" xfId="2" applyNumberFormat="1" applyFont="1" applyBorder="1" applyAlignment="1">
      <alignment vertical="top" wrapText="1"/>
    </xf>
    <xf numFmtId="10" fontId="0" fillId="0" borderId="1" xfId="3" applyNumberFormat="1" applyFont="1" applyBorder="1" applyAlignment="1">
      <alignment vertical="top" wrapText="1"/>
    </xf>
    <xf numFmtId="41" fontId="0" fillId="0" borderId="1" xfId="3" applyNumberFormat="1" applyFont="1" applyBorder="1" applyAlignment="1">
      <alignment vertical="top" wrapText="1"/>
    </xf>
    <xf numFmtId="164" fontId="0" fillId="0" borderId="1" xfId="2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164" fontId="0" fillId="0" borderId="1" xfId="0" applyNumberFormat="1" applyBorder="1" applyAlignment="1">
      <alignment vertical="top" wrapText="1"/>
    </xf>
    <xf numFmtId="164" fontId="0" fillId="0" borderId="1" xfId="1" applyNumberFormat="1" applyFont="1" applyBorder="1" applyAlignment="1">
      <alignment vertical="top" wrapText="1"/>
    </xf>
    <xf numFmtId="164" fontId="1" fillId="0" borderId="1" xfId="1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3" fillId="2" borderId="1" xfId="1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5" fontId="3" fillId="2" borderId="1" xfId="1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1" fontId="3" fillId="2" borderId="1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41" fontId="3" fillId="2" borderId="1" xfId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4">
    <cellStyle name="Comma" xfId="2" builtinId="3"/>
    <cellStyle name="Comma [0]" xfId="1" builtinId="6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S158"/>
  <sheetViews>
    <sheetView tabSelected="1" zoomScale="70" zoomScaleNormal="70" workbookViewId="0">
      <selection activeCell="I7" sqref="I7"/>
    </sheetView>
  </sheetViews>
  <sheetFormatPr defaultRowHeight="15" x14ac:dyDescent="0.25"/>
  <cols>
    <col min="1" max="1" width="9.140625" style="2"/>
    <col min="2" max="2" width="13.140625" style="2" hidden="1" customWidth="1"/>
    <col min="3" max="3" width="22.28515625" style="2" customWidth="1"/>
    <col min="4" max="4" width="25.7109375" style="2" customWidth="1"/>
    <col min="5" max="5" width="12.28515625" style="33" customWidth="1"/>
    <col min="6" max="6" width="11.85546875" style="3" customWidth="1"/>
    <col min="7" max="7" width="12.5703125" style="2" customWidth="1"/>
    <col min="8" max="8" width="14.28515625" style="1" customWidth="1"/>
    <col min="9" max="9" width="13.7109375" style="3" bestFit="1" customWidth="1"/>
    <col min="10" max="10" width="14.7109375" style="4" customWidth="1"/>
    <col min="11" max="11" width="14.5703125" style="4" customWidth="1"/>
    <col min="12" max="12" width="14.7109375" style="4" customWidth="1"/>
    <col min="13" max="13" width="16.85546875" style="4" bestFit="1" customWidth="1"/>
    <col min="14" max="14" width="18" style="4" customWidth="1"/>
    <col min="15" max="15" width="16.5703125" style="9" customWidth="1"/>
    <col min="16" max="16" width="17.85546875" style="2" customWidth="1"/>
    <col min="17" max="17" width="18.42578125" style="2" customWidth="1"/>
    <col min="18" max="18" width="17.42578125" style="2" customWidth="1"/>
    <col min="19" max="19" width="10.5703125" style="2" customWidth="1"/>
    <col min="20" max="16384" width="9.140625" style="2"/>
  </cols>
  <sheetData>
    <row r="1" spans="1:19" ht="33.75" customHeight="1" x14ac:dyDescent="0.25">
      <c r="A1" s="38" t="s">
        <v>97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</row>
    <row r="2" spans="1:19" ht="33.75" customHeight="1" x14ac:dyDescent="0.25">
      <c r="A2" s="22"/>
      <c r="B2" s="37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19" s="33" customFormat="1" ht="21.75" customHeight="1" x14ac:dyDescent="0.25">
      <c r="A3" s="32" t="s">
        <v>0</v>
      </c>
      <c r="B3" s="29" t="s">
        <v>23</v>
      </c>
      <c r="C3" s="30" t="s">
        <v>1</v>
      </c>
      <c r="D3" s="30" t="s">
        <v>2</v>
      </c>
      <c r="E3" s="34" t="s">
        <v>3</v>
      </c>
      <c r="F3" s="31" t="s">
        <v>4</v>
      </c>
      <c r="G3" s="31"/>
      <c r="H3" s="28" t="s">
        <v>5</v>
      </c>
      <c r="I3" s="27" t="s">
        <v>18</v>
      </c>
      <c r="J3" s="27"/>
      <c r="K3" s="27"/>
      <c r="L3" s="27"/>
      <c r="M3" s="36" t="s">
        <v>182</v>
      </c>
      <c r="N3" s="36"/>
      <c r="O3" s="25" t="s">
        <v>6</v>
      </c>
      <c r="P3" s="26" t="s">
        <v>7</v>
      </c>
      <c r="Q3" s="24" t="s">
        <v>13</v>
      </c>
      <c r="R3" s="24" t="s">
        <v>8</v>
      </c>
      <c r="S3" s="24" t="s">
        <v>9</v>
      </c>
    </row>
    <row r="4" spans="1:19" s="33" customFormat="1" ht="78.75" customHeight="1" x14ac:dyDescent="0.25">
      <c r="A4" s="32"/>
      <c r="B4" s="29"/>
      <c r="C4" s="30"/>
      <c r="D4" s="30"/>
      <c r="E4" s="34"/>
      <c r="F4" s="5" t="s">
        <v>184</v>
      </c>
      <c r="G4" s="7" t="s">
        <v>10</v>
      </c>
      <c r="H4" s="28"/>
      <c r="I4" s="23" t="s">
        <v>183</v>
      </c>
      <c r="J4" s="6" t="s">
        <v>19</v>
      </c>
      <c r="K4" s="6" t="s">
        <v>20</v>
      </c>
      <c r="L4" s="6" t="s">
        <v>21</v>
      </c>
      <c r="M4" s="6" t="s">
        <v>11</v>
      </c>
      <c r="N4" s="6" t="s">
        <v>12</v>
      </c>
      <c r="O4" s="25"/>
      <c r="P4" s="26"/>
      <c r="Q4" s="24"/>
      <c r="R4" s="24"/>
      <c r="S4" s="24"/>
    </row>
    <row r="5" spans="1:19" s="18" customFormat="1" ht="30" x14ac:dyDescent="0.25">
      <c r="A5" s="10">
        <v>1</v>
      </c>
      <c r="B5" s="11" t="s">
        <v>24</v>
      </c>
      <c r="C5" s="12" t="s">
        <v>98</v>
      </c>
      <c r="D5" s="12" t="s">
        <v>107</v>
      </c>
      <c r="E5" s="35" t="s">
        <v>17</v>
      </c>
      <c r="F5" s="13">
        <v>140.04</v>
      </c>
      <c r="G5" s="10" t="s">
        <v>14</v>
      </c>
      <c r="H5" s="14">
        <v>1598.2078803406966</v>
      </c>
      <c r="I5" s="15">
        <v>1.3074274471224792</v>
      </c>
      <c r="J5" s="16">
        <v>181.59130254137526</v>
      </c>
      <c r="K5" s="16">
        <v>0.68139325531472883</v>
      </c>
      <c r="L5" s="16">
        <v>3.475105602105117</v>
      </c>
      <c r="M5" s="19">
        <v>1395.9534285799098</v>
      </c>
      <c r="N5" s="20">
        <v>2835.1722578399999</v>
      </c>
      <c r="O5" s="21">
        <f>M5+N5</f>
        <v>4231.1256864199095</v>
      </c>
      <c r="P5" s="17">
        <v>0</v>
      </c>
      <c r="Q5" s="10" t="s">
        <v>14</v>
      </c>
      <c r="R5" s="10" t="s">
        <v>15</v>
      </c>
      <c r="S5" s="10" t="s">
        <v>14</v>
      </c>
    </row>
    <row r="6" spans="1:19" s="18" customFormat="1" ht="30" x14ac:dyDescent="0.25">
      <c r="A6" s="10">
        <v>2</v>
      </c>
      <c r="B6" s="11" t="s">
        <v>25</v>
      </c>
      <c r="C6" s="12" t="s">
        <v>98</v>
      </c>
      <c r="D6" s="12" t="s">
        <v>108</v>
      </c>
      <c r="E6" s="35" t="s">
        <v>17</v>
      </c>
      <c r="F6" s="13">
        <v>276.83999999999997</v>
      </c>
      <c r="G6" s="10" t="s">
        <v>14</v>
      </c>
      <c r="H6" s="14">
        <v>1295</v>
      </c>
      <c r="I6" s="15">
        <v>1.0588235294117647</v>
      </c>
      <c r="J6" s="16">
        <v>171</v>
      </c>
      <c r="K6" s="16">
        <v>1</v>
      </c>
      <c r="L6" s="16">
        <v>18.571428571428573</v>
      </c>
      <c r="M6" s="19">
        <v>904.36142146790996</v>
      </c>
      <c r="N6" s="20">
        <v>5604.7492706399989</v>
      </c>
      <c r="O6" s="21">
        <f>M6+N6</f>
        <v>6509.110692107909</v>
      </c>
      <c r="P6" s="17">
        <v>296.66464928355197</v>
      </c>
      <c r="Q6" s="10" t="s">
        <v>14</v>
      </c>
      <c r="R6" s="10" t="s">
        <v>15</v>
      </c>
      <c r="S6" s="10" t="s">
        <v>14</v>
      </c>
    </row>
    <row r="7" spans="1:19" s="18" customFormat="1" ht="30" x14ac:dyDescent="0.25">
      <c r="A7" s="10">
        <v>3</v>
      </c>
      <c r="B7" s="11" t="s">
        <v>26</v>
      </c>
      <c r="C7" s="12" t="s">
        <v>98</v>
      </c>
      <c r="D7" s="12" t="s">
        <v>109</v>
      </c>
      <c r="E7" s="35" t="s">
        <v>17</v>
      </c>
      <c r="F7" s="13">
        <v>118.35</v>
      </c>
      <c r="G7" s="10" t="s">
        <v>14</v>
      </c>
      <c r="H7" s="14">
        <v>861.22047805922216</v>
      </c>
      <c r="I7" s="15">
        <v>0.96231527093596059</v>
      </c>
      <c r="J7" s="16">
        <v>124.42133428469496</v>
      </c>
      <c r="K7" s="16">
        <v>0.86478772743489107</v>
      </c>
      <c r="L7" s="16">
        <v>0.87559757402782723</v>
      </c>
      <c r="M7" s="19">
        <v>3430.4477632039652</v>
      </c>
      <c r="N7" s="20">
        <v>2396.0485340999999</v>
      </c>
      <c r="O7" s="21">
        <f t="shared" ref="O7:O29" si="0">M7+N7</f>
        <v>5826.4962973039655</v>
      </c>
      <c r="P7" s="17">
        <v>2.4221443615502709</v>
      </c>
      <c r="Q7" s="10" t="s">
        <v>14</v>
      </c>
      <c r="R7" s="10" t="s">
        <v>15</v>
      </c>
      <c r="S7" s="10" t="s">
        <v>14</v>
      </c>
    </row>
    <row r="8" spans="1:19" s="18" customFormat="1" ht="30" x14ac:dyDescent="0.25">
      <c r="A8" s="10">
        <v>4</v>
      </c>
      <c r="B8" s="11" t="s">
        <v>27</v>
      </c>
      <c r="C8" s="12" t="s">
        <v>98</v>
      </c>
      <c r="D8" s="12" t="s">
        <v>110</v>
      </c>
      <c r="E8" s="35" t="s">
        <v>17</v>
      </c>
      <c r="F8" s="13">
        <v>259.91999999999996</v>
      </c>
      <c r="G8" s="10" t="s">
        <v>15</v>
      </c>
      <c r="H8" s="14">
        <v>1528.0895614187561</v>
      </c>
      <c r="I8" s="15">
        <v>1.0484311050477491</v>
      </c>
      <c r="J8" s="16">
        <v>195.40006379780297</v>
      </c>
      <c r="K8" s="16">
        <v>1.7809901648237252</v>
      </c>
      <c r="L8" s="16">
        <v>5.2016220686915142</v>
      </c>
      <c r="M8" s="19">
        <v>85.301954824591832</v>
      </c>
      <c r="N8" s="20">
        <v>5262.1963243199998</v>
      </c>
      <c r="O8" s="21">
        <f t="shared" si="0"/>
        <v>5347.4982791445918</v>
      </c>
      <c r="P8" s="17">
        <v>17.713639203165126</v>
      </c>
      <c r="Q8" s="10" t="s">
        <v>14</v>
      </c>
      <c r="R8" s="10" t="s">
        <v>15</v>
      </c>
      <c r="S8" s="10" t="s">
        <v>15</v>
      </c>
    </row>
    <row r="9" spans="1:19" s="18" customFormat="1" ht="30" x14ac:dyDescent="0.25">
      <c r="A9" s="10">
        <v>5</v>
      </c>
      <c r="B9" s="11" t="s">
        <v>28</v>
      </c>
      <c r="C9" s="12" t="s">
        <v>98</v>
      </c>
      <c r="D9" s="12" t="s">
        <v>111</v>
      </c>
      <c r="E9" s="35" t="s">
        <v>17</v>
      </c>
      <c r="F9" s="13">
        <v>329.85</v>
      </c>
      <c r="G9" s="10" t="s">
        <v>14</v>
      </c>
      <c r="H9" s="14">
        <v>566.76102644116918</v>
      </c>
      <c r="I9" s="15">
        <v>0.99770194185912908</v>
      </c>
      <c r="J9" s="16">
        <v>70.836978629740059</v>
      </c>
      <c r="K9" s="16">
        <v>0.5867766292385278</v>
      </c>
      <c r="L9" s="16">
        <v>0.51723273243988754</v>
      </c>
      <c r="M9" s="19">
        <v>86.179565209887755</v>
      </c>
      <c r="N9" s="20">
        <v>6677.9603631</v>
      </c>
      <c r="O9" s="21">
        <f t="shared" si="0"/>
        <v>6764.1399283098881</v>
      </c>
      <c r="P9" s="17">
        <v>87.298855345134072</v>
      </c>
      <c r="Q9" s="10" t="s">
        <v>15</v>
      </c>
      <c r="R9" s="10" t="s">
        <v>15</v>
      </c>
      <c r="S9" s="10" t="s">
        <v>15</v>
      </c>
    </row>
    <row r="10" spans="1:19" s="18" customFormat="1" ht="30" x14ac:dyDescent="0.25">
      <c r="A10" s="10">
        <v>6</v>
      </c>
      <c r="B10" s="11" t="s">
        <v>29</v>
      </c>
      <c r="C10" s="12" t="s">
        <v>98</v>
      </c>
      <c r="D10" s="12" t="s">
        <v>112</v>
      </c>
      <c r="E10" s="35" t="s">
        <v>17</v>
      </c>
      <c r="F10" s="13">
        <v>298.43999999999994</v>
      </c>
      <c r="G10" s="10" t="s">
        <v>14</v>
      </c>
      <c r="H10" s="14">
        <v>1511.4585751978889</v>
      </c>
      <c r="I10" s="15">
        <v>1.0161675546573581</v>
      </c>
      <c r="J10" s="16">
        <v>217.06385224274402</v>
      </c>
      <c r="K10" s="16">
        <v>10.054353562005275</v>
      </c>
      <c r="L10" s="16">
        <v>2.1853298153034295</v>
      </c>
      <c r="M10" s="19">
        <v>254.50591495574957</v>
      </c>
      <c r="N10" s="20">
        <v>6042.0509042399999</v>
      </c>
      <c r="O10" s="21">
        <f t="shared" si="0"/>
        <v>6296.5568191957491</v>
      </c>
      <c r="P10" s="17">
        <v>21.144863957805654</v>
      </c>
      <c r="Q10" s="10" t="s">
        <v>14</v>
      </c>
      <c r="R10" s="10" t="s">
        <v>15</v>
      </c>
      <c r="S10" s="10" t="s">
        <v>14</v>
      </c>
    </row>
    <row r="11" spans="1:19" s="18" customFormat="1" x14ac:dyDescent="0.25">
      <c r="A11" s="10">
        <v>7</v>
      </c>
      <c r="B11" s="11" t="s">
        <v>30</v>
      </c>
      <c r="C11" s="12" t="s">
        <v>99</v>
      </c>
      <c r="D11" s="12" t="s">
        <v>113</v>
      </c>
      <c r="E11" s="35" t="s">
        <v>17</v>
      </c>
      <c r="F11" s="13">
        <v>653.94000000000005</v>
      </c>
      <c r="G11" s="10" t="s">
        <v>14</v>
      </c>
      <c r="H11" s="14">
        <v>11801.428582858607</v>
      </c>
      <c r="I11" s="15">
        <v>0.99889607317457818</v>
      </c>
      <c r="J11" s="16">
        <v>1342.6161748703835</v>
      </c>
      <c r="K11" s="16">
        <v>11.172950137617615</v>
      </c>
      <c r="L11" s="16">
        <v>26.57156731446241</v>
      </c>
      <c r="M11" s="19">
        <v>19281.927223108069</v>
      </c>
      <c r="N11" s="20">
        <v>13239.306957239998</v>
      </c>
      <c r="O11" s="21">
        <f t="shared" si="0"/>
        <v>32521.234180348067</v>
      </c>
      <c r="P11" s="17">
        <v>9.7235843645507387</v>
      </c>
      <c r="Q11" s="10" t="s">
        <v>14</v>
      </c>
      <c r="R11" s="10" t="s">
        <v>15</v>
      </c>
      <c r="S11" s="10" t="s">
        <v>14</v>
      </c>
    </row>
    <row r="12" spans="1:19" s="18" customFormat="1" x14ac:dyDescent="0.25">
      <c r="A12" s="10">
        <v>8</v>
      </c>
      <c r="B12" s="11" t="s">
        <v>31</v>
      </c>
      <c r="C12" s="12" t="s">
        <v>99</v>
      </c>
      <c r="D12" s="12" t="s">
        <v>114</v>
      </c>
      <c r="E12" s="35" t="s">
        <v>17</v>
      </c>
      <c r="F12" s="13">
        <v>110.97</v>
      </c>
      <c r="G12" s="10" t="s">
        <v>15</v>
      </c>
      <c r="H12" s="14">
        <v>4176.430440806691</v>
      </c>
      <c r="I12" s="15">
        <v>0.96873244710728323</v>
      </c>
      <c r="J12" s="16">
        <v>478.21419407810328</v>
      </c>
      <c r="K12" s="16">
        <v>12.312823933904653</v>
      </c>
      <c r="L12" s="16">
        <v>3.2172217375686349</v>
      </c>
      <c r="M12" s="19">
        <v>6571.2889487127431</v>
      </c>
      <c r="N12" s="20">
        <v>2246.6371426199998</v>
      </c>
      <c r="O12" s="21">
        <f t="shared" si="0"/>
        <v>8817.9260913327435</v>
      </c>
      <c r="P12" s="17">
        <v>0</v>
      </c>
      <c r="Q12" s="10" t="s">
        <v>14</v>
      </c>
      <c r="R12" s="10" t="s">
        <v>15</v>
      </c>
      <c r="S12" s="10" t="s">
        <v>14</v>
      </c>
    </row>
    <row r="13" spans="1:19" s="18" customFormat="1" x14ac:dyDescent="0.25">
      <c r="A13" s="10">
        <v>9</v>
      </c>
      <c r="B13" s="11" t="s">
        <v>32</v>
      </c>
      <c r="C13" s="12" t="s">
        <v>99</v>
      </c>
      <c r="D13" s="12" t="s">
        <v>115</v>
      </c>
      <c r="E13" s="35" t="s">
        <v>17</v>
      </c>
      <c r="F13" s="13">
        <v>49.14</v>
      </c>
      <c r="G13" s="10" t="s">
        <v>16</v>
      </c>
      <c r="H13" s="14">
        <v>1288.5816428899354</v>
      </c>
      <c r="I13" s="15">
        <v>0.82109283196239713</v>
      </c>
      <c r="J13" s="16">
        <v>163.8009896107871</v>
      </c>
      <c r="K13" s="16">
        <v>1.4550849330907483</v>
      </c>
      <c r="L13" s="16">
        <v>1.6837411368621515</v>
      </c>
      <c r="M13" s="19">
        <v>1342.2068044996806</v>
      </c>
      <c r="N13" s="20">
        <v>994.86121644000002</v>
      </c>
      <c r="O13" s="21">
        <f t="shared" si="0"/>
        <v>2337.0680209396805</v>
      </c>
      <c r="P13" s="17">
        <v>0</v>
      </c>
      <c r="Q13" s="10" t="s">
        <v>14</v>
      </c>
      <c r="R13" s="10" t="s">
        <v>15</v>
      </c>
      <c r="S13" s="10" t="s">
        <v>15</v>
      </c>
    </row>
    <row r="14" spans="1:19" s="18" customFormat="1" x14ac:dyDescent="0.25">
      <c r="A14" s="10">
        <v>10</v>
      </c>
      <c r="B14" s="11" t="s">
        <v>33</v>
      </c>
      <c r="C14" s="12" t="s">
        <v>99</v>
      </c>
      <c r="D14" s="12" t="s">
        <v>116</v>
      </c>
      <c r="E14" s="35" t="s">
        <v>17</v>
      </c>
      <c r="F14" s="13">
        <v>308.07</v>
      </c>
      <c r="G14" s="10" t="s">
        <v>14</v>
      </c>
      <c r="H14" s="14">
        <v>26941.379224652086</v>
      </c>
      <c r="I14" s="15">
        <v>0.98234683281412249</v>
      </c>
      <c r="J14" s="16">
        <v>3340.3288083996022</v>
      </c>
      <c r="K14" s="16">
        <v>20.287183151093441</v>
      </c>
      <c r="L14" s="16">
        <v>15.190885934393636</v>
      </c>
      <c r="M14" s="19">
        <v>37062.090749429866</v>
      </c>
      <c r="N14" s="20">
        <v>6237.0145492199999</v>
      </c>
      <c r="O14" s="21">
        <f t="shared" si="0"/>
        <v>43299.105298649869</v>
      </c>
      <c r="P14" s="17">
        <v>1258.183323022884</v>
      </c>
      <c r="Q14" s="10" t="s">
        <v>14</v>
      </c>
      <c r="R14" s="10" t="s">
        <v>15</v>
      </c>
      <c r="S14" s="10" t="s">
        <v>14</v>
      </c>
    </row>
    <row r="15" spans="1:19" s="18" customFormat="1" x14ac:dyDescent="0.25">
      <c r="A15" s="10">
        <v>11</v>
      </c>
      <c r="B15" s="11" t="s">
        <v>34</v>
      </c>
      <c r="C15" s="12" t="s">
        <v>99</v>
      </c>
      <c r="D15" s="12" t="s">
        <v>117</v>
      </c>
      <c r="E15" s="35" t="s">
        <v>17</v>
      </c>
      <c r="F15" s="13">
        <v>9</v>
      </c>
      <c r="G15" s="10" t="s">
        <v>16</v>
      </c>
      <c r="H15" s="14">
        <v>938.21964910218344</v>
      </c>
      <c r="I15" s="15">
        <v>0.94858272907053398</v>
      </c>
      <c r="J15" s="16">
        <v>136.69145090663295</v>
      </c>
      <c r="K15" s="16">
        <v>2.2217650689158606</v>
      </c>
      <c r="L15" s="16">
        <v>3.0193217603215543</v>
      </c>
      <c r="M15" s="19">
        <v>682.6110422288674</v>
      </c>
      <c r="N15" s="20">
        <v>182.20901399999997</v>
      </c>
      <c r="O15" s="21">
        <f t="shared" si="0"/>
        <v>864.82005622886732</v>
      </c>
      <c r="P15" s="17">
        <v>8.0413078133302758</v>
      </c>
      <c r="Q15" s="10" t="s">
        <v>15</v>
      </c>
      <c r="R15" s="10" t="s">
        <v>16</v>
      </c>
      <c r="S15" s="10" t="s">
        <v>15</v>
      </c>
    </row>
    <row r="16" spans="1:19" s="18" customFormat="1" x14ac:dyDescent="0.25">
      <c r="A16" s="10">
        <v>12</v>
      </c>
      <c r="B16" s="11" t="s">
        <v>35</v>
      </c>
      <c r="C16" s="12" t="s">
        <v>99</v>
      </c>
      <c r="D16" s="12" t="s">
        <v>118</v>
      </c>
      <c r="E16" s="35" t="s">
        <v>17</v>
      </c>
      <c r="F16" s="13">
        <v>214.74</v>
      </c>
      <c r="G16" s="10" t="s">
        <v>14</v>
      </c>
      <c r="H16" s="14">
        <v>23632.390951998437</v>
      </c>
      <c r="I16" s="15">
        <v>0.98310225303292897</v>
      </c>
      <c r="J16" s="16">
        <v>3015.3629704975065</v>
      </c>
      <c r="K16" s="16">
        <v>1301.1497749407049</v>
      </c>
      <c r="L16" s="16">
        <v>88.636525673870779</v>
      </c>
      <c r="M16" s="19">
        <v>12792.731661091628</v>
      </c>
      <c r="N16" s="20">
        <v>4347.5070740399997</v>
      </c>
      <c r="O16" s="21">
        <f t="shared" si="0"/>
        <v>17140.238735131628</v>
      </c>
      <c r="P16" s="17">
        <v>41.444766083244915</v>
      </c>
      <c r="Q16" s="10" t="s">
        <v>14</v>
      </c>
      <c r="R16" s="10" t="s">
        <v>15</v>
      </c>
      <c r="S16" s="10" t="s">
        <v>14</v>
      </c>
    </row>
    <row r="17" spans="1:19" s="18" customFormat="1" x14ac:dyDescent="0.25">
      <c r="A17" s="10">
        <v>13</v>
      </c>
      <c r="B17" s="11" t="s">
        <v>36</v>
      </c>
      <c r="C17" s="12" t="s">
        <v>99</v>
      </c>
      <c r="D17" s="12" t="s">
        <v>119</v>
      </c>
      <c r="E17" s="35" t="s">
        <v>17</v>
      </c>
      <c r="F17" s="13">
        <v>327.33</v>
      </c>
      <c r="G17" s="10" t="s">
        <v>14</v>
      </c>
      <c r="H17" s="14">
        <v>9773.2157023619293</v>
      </c>
      <c r="I17" s="15">
        <v>0.938229238160604</v>
      </c>
      <c r="J17" s="16">
        <v>1200.887340198155</v>
      </c>
      <c r="K17" s="16">
        <v>6.9215408656954178</v>
      </c>
      <c r="L17" s="16">
        <v>35.299858415046629</v>
      </c>
      <c r="M17" s="19">
        <v>46699.285257094089</v>
      </c>
      <c r="N17" s="20">
        <v>6626.9418391799991</v>
      </c>
      <c r="O17" s="21">
        <f t="shared" si="0"/>
        <v>53326.227096274088</v>
      </c>
      <c r="P17" s="17">
        <v>0</v>
      </c>
      <c r="Q17" s="10" t="s">
        <v>14</v>
      </c>
      <c r="R17" s="10" t="s">
        <v>16</v>
      </c>
      <c r="S17" s="10" t="s">
        <v>14</v>
      </c>
    </row>
    <row r="18" spans="1:19" s="18" customFormat="1" x14ac:dyDescent="0.25">
      <c r="A18" s="10">
        <v>14</v>
      </c>
      <c r="B18" s="11" t="s">
        <v>37</v>
      </c>
      <c r="C18" s="12" t="s">
        <v>99</v>
      </c>
      <c r="D18" s="12" t="s">
        <v>120</v>
      </c>
      <c r="E18" s="35" t="s">
        <v>17</v>
      </c>
      <c r="F18" s="13">
        <v>498.69</v>
      </c>
      <c r="G18" s="10" t="s">
        <v>14</v>
      </c>
      <c r="H18" s="14">
        <v>34243.285088108751</v>
      </c>
      <c r="I18" s="15">
        <v>0.99972677595628412</v>
      </c>
      <c r="J18" s="16">
        <v>4355.8544086663824</v>
      </c>
      <c r="K18" s="16">
        <v>37.429468602933461</v>
      </c>
      <c r="L18" s="16">
        <v>86.889837828238399</v>
      </c>
      <c r="M18" s="19">
        <v>6736.5866833023956</v>
      </c>
      <c r="N18" s="20">
        <v>10096.20146574</v>
      </c>
      <c r="O18" s="21">
        <f t="shared" si="0"/>
        <v>16832.788149042397</v>
      </c>
      <c r="P18" s="17">
        <v>101.7296262096406</v>
      </c>
      <c r="Q18" s="10" t="s">
        <v>14</v>
      </c>
      <c r="R18" s="10" t="s">
        <v>15</v>
      </c>
      <c r="S18" s="10" t="s">
        <v>14</v>
      </c>
    </row>
    <row r="19" spans="1:19" s="18" customFormat="1" x14ac:dyDescent="0.25">
      <c r="A19" s="10">
        <v>15</v>
      </c>
      <c r="B19" s="11" t="s">
        <v>38</v>
      </c>
      <c r="C19" s="12" t="s">
        <v>99</v>
      </c>
      <c r="D19" s="12" t="s">
        <v>121</v>
      </c>
      <c r="E19" s="35" t="s">
        <v>17</v>
      </c>
      <c r="F19" s="13">
        <v>219.96</v>
      </c>
      <c r="G19" s="10" t="s">
        <v>15</v>
      </c>
      <c r="H19" s="14">
        <v>1450</v>
      </c>
      <c r="I19" s="15">
        <v>1.0308123249299719</v>
      </c>
      <c r="J19" s="16">
        <v>215</v>
      </c>
      <c r="K19" s="16">
        <v>31.999999999999996</v>
      </c>
      <c r="L19" s="16">
        <v>17.166666666666668</v>
      </c>
      <c r="M19" s="19">
        <v>16581.588344409782</v>
      </c>
      <c r="N19" s="20">
        <v>4453.1883021599997</v>
      </c>
      <c r="O19" s="21">
        <f t="shared" si="0"/>
        <v>21034.776646569782</v>
      </c>
      <c r="P19" s="17">
        <v>76.456412909725842</v>
      </c>
      <c r="Q19" s="10" t="s">
        <v>14</v>
      </c>
      <c r="R19" s="10" t="s">
        <v>16</v>
      </c>
      <c r="S19" s="10" t="s">
        <v>14</v>
      </c>
    </row>
    <row r="20" spans="1:19" s="18" customFormat="1" x14ac:dyDescent="0.25">
      <c r="A20" s="10">
        <v>16</v>
      </c>
      <c r="B20" s="11" t="s">
        <v>39</v>
      </c>
      <c r="C20" s="12" t="s">
        <v>99</v>
      </c>
      <c r="D20" s="12" t="s">
        <v>122</v>
      </c>
      <c r="E20" s="35" t="s">
        <v>17</v>
      </c>
      <c r="F20" s="13">
        <v>434.07</v>
      </c>
      <c r="G20" s="10" t="s">
        <v>14</v>
      </c>
      <c r="H20" s="14">
        <v>18686.415443401536</v>
      </c>
      <c r="I20" s="15">
        <v>0.86498002663115847</v>
      </c>
      <c r="J20" s="16">
        <v>1915.8712392349425</v>
      </c>
      <c r="K20" s="16">
        <v>29.35178778772196</v>
      </c>
      <c r="L20" s="16">
        <v>56.924679345885011</v>
      </c>
      <c r="M20" s="19">
        <v>18697.879229118334</v>
      </c>
      <c r="N20" s="20">
        <v>8787.9407452199994</v>
      </c>
      <c r="O20" s="21">
        <f t="shared" si="0"/>
        <v>27485.819974338334</v>
      </c>
      <c r="P20" s="17">
        <v>30.82619189363378</v>
      </c>
      <c r="Q20" s="10" t="s">
        <v>14</v>
      </c>
      <c r="R20" s="10" t="s">
        <v>15</v>
      </c>
      <c r="S20" s="10" t="s">
        <v>14</v>
      </c>
    </row>
    <row r="21" spans="1:19" s="18" customFormat="1" x14ac:dyDescent="0.25">
      <c r="A21" s="10">
        <v>17</v>
      </c>
      <c r="B21" s="11" t="s">
        <v>40</v>
      </c>
      <c r="C21" s="12" t="s">
        <v>99</v>
      </c>
      <c r="D21" s="12" t="s">
        <v>123</v>
      </c>
      <c r="E21" s="35" t="s">
        <v>17</v>
      </c>
      <c r="F21" s="13">
        <v>462.42</v>
      </c>
      <c r="G21" s="10" t="s">
        <v>14</v>
      </c>
      <c r="H21" s="14">
        <v>47759.935229787792</v>
      </c>
      <c r="I21" s="15">
        <v>1.0057803468208093</v>
      </c>
      <c r="J21" s="16">
        <v>6015.5334591850024</v>
      </c>
      <c r="K21" s="16">
        <v>97.155318317927353</v>
      </c>
      <c r="L21" s="16">
        <v>65.57983986460097</v>
      </c>
      <c r="M21" s="19">
        <v>30568.57862208239</v>
      </c>
      <c r="N21" s="20">
        <v>9361.8991393199994</v>
      </c>
      <c r="O21" s="21">
        <f t="shared" si="0"/>
        <v>39930.477761402391</v>
      </c>
      <c r="P21" s="17">
        <v>5.7874983382582927</v>
      </c>
      <c r="Q21" s="10" t="s">
        <v>14</v>
      </c>
      <c r="R21" s="10" t="s">
        <v>15</v>
      </c>
      <c r="S21" s="10" t="s">
        <v>14</v>
      </c>
    </row>
    <row r="22" spans="1:19" s="18" customFormat="1" x14ac:dyDescent="0.25">
      <c r="A22" s="10">
        <v>18</v>
      </c>
      <c r="B22" s="11" t="s">
        <v>41</v>
      </c>
      <c r="C22" s="12" t="s">
        <v>99</v>
      </c>
      <c r="D22" s="12" t="s">
        <v>124</v>
      </c>
      <c r="E22" s="35" t="s">
        <v>17</v>
      </c>
      <c r="F22" s="13">
        <v>20.43</v>
      </c>
      <c r="G22" s="10" t="s">
        <v>16</v>
      </c>
      <c r="H22" s="14">
        <v>31.063174114021571</v>
      </c>
      <c r="I22" s="15">
        <v>0.98425196850393704</v>
      </c>
      <c r="J22" s="16">
        <v>4.7061413163108075</v>
      </c>
      <c r="K22" s="16">
        <v>0.12987012987012986</v>
      </c>
      <c r="L22" s="16">
        <v>6.2818537394808582E-2</v>
      </c>
      <c r="M22" s="19">
        <v>4.0580056081274787</v>
      </c>
      <c r="N22" s="20">
        <v>413.61446178</v>
      </c>
      <c r="O22" s="21">
        <f t="shared" si="0"/>
        <v>417.67246738812747</v>
      </c>
      <c r="P22" s="17">
        <v>18.833527075394741</v>
      </c>
      <c r="Q22" s="10" t="s">
        <v>15</v>
      </c>
      <c r="R22" s="10" t="s">
        <v>15</v>
      </c>
      <c r="S22" s="10" t="s">
        <v>15</v>
      </c>
    </row>
    <row r="23" spans="1:19" s="18" customFormat="1" x14ac:dyDescent="0.25">
      <c r="A23" s="10">
        <v>19</v>
      </c>
      <c r="B23" s="11" t="s">
        <v>42</v>
      </c>
      <c r="C23" s="12" t="s">
        <v>100</v>
      </c>
      <c r="D23" s="12" t="s">
        <v>125</v>
      </c>
      <c r="E23" s="35" t="s">
        <v>17</v>
      </c>
      <c r="F23" s="13">
        <v>102.14999999999999</v>
      </c>
      <c r="G23" s="10" t="s">
        <v>15</v>
      </c>
      <c r="H23" s="14">
        <v>5204.0756379658524</v>
      </c>
      <c r="I23" s="15">
        <v>0.92929603442975717</v>
      </c>
      <c r="J23" s="16">
        <v>718.91867082797864</v>
      </c>
      <c r="K23" s="16">
        <v>15.754849764396303</v>
      </c>
      <c r="L23" s="16">
        <v>14.280711774745185</v>
      </c>
      <c r="M23" s="19">
        <v>34807.113547101231</v>
      </c>
      <c r="N23" s="20">
        <v>2068.0723088999998</v>
      </c>
      <c r="O23" s="21">
        <f t="shared" si="0"/>
        <v>36875.185856001233</v>
      </c>
      <c r="P23" s="17">
        <v>93.20044425648797</v>
      </c>
      <c r="Q23" s="10" t="s">
        <v>14</v>
      </c>
      <c r="R23" s="10" t="s">
        <v>15</v>
      </c>
      <c r="S23" s="10" t="s">
        <v>14</v>
      </c>
    </row>
    <row r="24" spans="1:19" s="18" customFormat="1" x14ac:dyDescent="0.25">
      <c r="A24" s="10">
        <v>20</v>
      </c>
      <c r="B24" s="11" t="s">
        <v>43</v>
      </c>
      <c r="C24" s="12" t="s">
        <v>100</v>
      </c>
      <c r="D24" s="12" t="s">
        <v>126</v>
      </c>
      <c r="E24" s="35" t="s">
        <v>17</v>
      </c>
      <c r="F24" s="13">
        <v>69.75</v>
      </c>
      <c r="G24" s="10" t="s">
        <v>16</v>
      </c>
      <c r="H24" s="14">
        <v>4261.9405615096321</v>
      </c>
      <c r="I24" s="15">
        <v>0.78113358169238956</v>
      </c>
      <c r="J24" s="16">
        <v>427.88138602143465</v>
      </c>
      <c r="K24" s="16">
        <v>3.1836412650404364</v>
      </c>
      <c r="L24" s="16">
        <v>5.482937734236307</v>
      </c>
      <c r="M24" s="19">
        <v>13039.78841542018</v>
      </c>
      <c r="N24" s="20">
        <v>1412.1198585</v>
      </c>
      <c r="O24" s="21">
        <f t="shared" si="0"/>
        <v>14451.90827392018</v>
      </c>
      <c r="P24" s="17">
        <v>43.500357021972242</v>
      </c>
      <c r="Q24" s="10" t="s">
        <v>14</v>
      </c>
      <c r="R24" s="10" t="s">
        <v>15</v>
      </c>
      <c r="S24" s="10" t="s">
        <v>15</v>
      </c>
    </row>
    <row r="25" spans="1:19" s="18" customFormat="1" x14ac:dyDescent="0.25">
      <c r="A25" s="10">
        <v>21</v>
      </c>
      <c r="B25" s="11" t="s">
        <v>44</v>
      </c>
      <c r="C25" s="12" t="s">
        <v>100</v>
      </c>
      <c r="D25" s="12" t="s">
        <v>127</v>
      </c>
      <c r="E25" s="35" t="s">
        <v>17</v>
      </c>
      <c r="F25" s="13">
        <v>25.919999999999998</v>
      </c>
      <c r="G25" s="10" t="s">
        <v>16</v>
      </c>
      <c r="H25" s="14">
        <v>596.90573169868912</v>
      </c>
      <c r="I25" s="15">
        <v>0.9838709677419355</v>
      </c>
      <c r="J25" s="16">
        <v>79.852134100120281</v>
      </c>
      <c r="K25" s="16">
        <v>0.14705733720095815</v>
      </c>
      <c r="L25" s="16">
        <v>2.3333097502552027</v>
      </c>
      <c r="M25" s="19">
        <v>506.21883314589792</v>
      </c>
      <c r="N25" s="20">
        <v>524.76196031999996</v>
      </c>
      <c r="O25" s="21">
        <f t="shared" si="0"/>
        <v>1030.9807934658979</v>
      </c>
      <c r="P25" s="17">
        <v>14.429051211015716</v>
      </c>
      <c r="Q25" s="10" t="s">
        <v>15</v>
      </c>
      <c r="R25" s="10" t="s">
        <v>15</v>
      </c>
      <c r="S25" s="10" t="s">
        <v>15</v>
      </c>
    </row>
    <row r="26" spans="1:19" s="18" customFormat="1" x14ac:dyDescent="0.25">
      <c r="A26" s="10">
        <v>22</v>
      </c>
      <c r="B26" s="11" t="s">
        <v>45</v>
      </c>
      <c r="C26" s="12" t="s">
        <v>100</v>
      </c>
      <c r="D26" s="12" t="s">
        <v>128</v>
      </c>
      <c r="E26" s="35" t="s">
        <v>17</v>
      </c>
      <c r="F26" s="13">
        <v>95.31</v>
      </c>
      <c r="G26" s="10" t="s">
        <v>16</v>
      </c>
      <c r="H26" s="14">
        <v>1885.226299257567</v>
      </c>
      <c r="I26" s="15">
        <v>1.0130066545674532</v>
      </c>
      <c r="J26" s="16">
        <v>288.94527802294789</v>
      </c>
      <c r="K26" s="16">
        <v>12.181026426457608</v>
      </c>
      <c r="L26" s="16">
        <v>4.494704324801412</v>
      </c>
      <c r="M26" s="19">
        <v>1239.8848704333568</v>
      </c>
      <c r="N26" s="20">
        <v>1929.5934582600003</v>
      </c>
      <c r="O26" s="21">
        <f t="shared" si="0"/>
        <v>3169.4783286933571</v>
      </c>
      <c r="P26" s="17">
        <v>14.574264969290628</v>
      </c>
      <c r="Q26" s="10" t="s">
        <v>14</v>
      </c>
      <c r="R26" s="10" t="s">
        <v>16</v>
      </c>
      <c r="S26" s="10" t="s">
        <v>15</v>
      </c>
    </row>
    <row r="27" spans="1:19" s="18" customFormat="1" x14ac:dyDescent="0.25">
      <c r="A27" s="10">
        <v>23</v>
      </c>
      <c r="B27" s="11" t="s">
        <v>46</v>
      </c>
      <c r="C27" s="12" t="s">
        <v>100</v>
      </c>
      <c r="D27" s="12" t="s">
        <v>129</v>
      </c>
      <c r="E27" s="35" t="s">
        <v>17</v>
      </c>
      <c r="F27" s="13">
        <v>236.60999999999999</v>
      </c>
      <c r="G27" s="10" t="s">
        <v>15</v>
      </c>
      <c r="H27" s="14">
        <v>19915.307184727248</v>
      </c>
      <c r="I27" s="15">
        <v>0.97967149129939823</v>
      </c>
      <c r="J27" s="16">
        <v>2431.1300810403918</v>
      </c>
      <c r="K27" s="16">
        <v>16.360229347512732</v>
      </c>
      <c r="L27" s="16">
        <v>28.085060379896859</v>
      </c>
      <c r="M27" s="19">
        <v>8559.7895307348354</v>
      </c>
      <c r="N27" s="20">
        <v>4790.2749780599997</v>
      </c>
      <c r="O27" s="21">
        <f t="shared" si="0"/>
        <v>13350.064508794836</v>
      </c>
      <c r="P27" s="17">
        <v>80.198095614470873</v>
      </c>
      <c r="Q27" s="10" t="s">
        <v>14</v>
      </c>
      <c r="R27" s="10" t="s">
        <v>15</v>
      </c>
      <c r="S27" s="10" t="s">
        <v>14</v>
      </c>
    </row>
    <row r="28" spans="1:19" s="18" customFormat="1" x14ac:dyDescent="0.25">
      <c r="A28" s="10">
        <v>24</v>
      </c>
      <c r="B28" s="11" t="s">
        <v>47</v>
      </c>
      <c r="C28" s="12" t="s">
        <v>100</v>
      </c>
      <c r="D28" s="12" t="s">
        <v>130</v>
      </c>
      <c r="E28" s="35" t="s">
        <v>17</v>
      </c>
      <c r="F28" s="13">
        <v>52.739999999999995</v>
      </c>
      <c r="G28" s="10" t="s">
        <v>16</v>
      </c>
      <c r="H28" s="14">
        <v>1958.499967016038</v>
      </c>
      <c r="I28" s="15">
        <v>0.95073641442356527</v>
      </c>
      <c r="J28" s="16">
        <v>294.2084043135261</v>
      </c>
      <c r="K28" s="16">
        <v>3.5692527386389652</v>
      </c>
      <c r="L28" s="16">
        <v>5.2009111334453495</v>
      </c>
      <c r="M28" s="19">
        <v>4430.9413016946892</v>
      </c>
      <c r="N28" s="20">
        <v>1067.7448220399999</v>
      </c>
      <c r="O28" s="21">
        <f t="shared" si="0"/>
        <v>5498.6861237346893</v>
      </c>
      <c r="P28" s="17">
        <v>0</v>
      </c>
      <c r="Q28" s="10" t="s">
        <v>14</v>
      </c>
      <c r="R28" s="10" t="s">
        <v>16</v>
      </c>
      <c r="S28" s="10" t="s">
        <v>15</v>
      </c>
    </row>
    <row r="29" spans="1:19" s="18" customFormat="1" x14ac:dyDescent="0.25">
      <c r="A29" s="10">
        <v>25</v>
      </c>
      <c r="B29" s="11" t="s">
        <v>48</v>
      </c>
      <c r="C29" s="12" t="s">
        <v>100</v>
      </c>
      <c r="D29" s="12" t="s">
        <v>131</v>
      </c>
      <c r="E29" s="35" t="s">
        <v>17</v>
      </c>
      <c r="F29" s="13">
        <v>38.340000000000003</v>
      </c>
      <c r="G29" s="10" t="s">
        <v>15</v>
      </c>
      <c r="H29" s="14">
        <v>3508.8339861404038</v>
      </c>
      <c r="I29" s="15">
        <v>1.0334194136411969</v>
      </c>
      <c r="J29" s="16">
        <v>413.11238324796625</v>
      </c>
      <c r="K29" s="16">
        <v>8.388068695390178</v>
      </c>
      <c r="L29" s="16">
        <v>2.1232298885206387</v>
      </c>
      <c r="M29" s="19">
        <v>24990.206619534012</v>
      </c>
      <c r="N29" s="20">
        <v>776.21039963999999</v>
      </c>
      <c r="O29" s="21">
        <f t="shared" si="0"/>
        <v>25766.417019174012</v>
      </c>
      <c r="P29" s="17">
        <v>158.05960268595248</v>
      </c>
      <c r="Q29" s="10" t="s">
        <v>14</v>
      </c>
      <c r="R29" s="10" t="s">
        <v>16</v>
      </c>
      <c r="S29" s="10" t="s">
        <v>14</v>
      </c>
    </row>
    <row r="30" spans="1:19" s="18" customFormat="1" x14ac:dyDescent="0.25">
      <c r="A30" s="10">
        <v>26</v>
      </c>
      <c r="B30" s="11" t="s">
        <v>49</v>
      </c>
      <c r="C30" s="12" t="s">
        <v>101</v>
      </c>
      <c r="D30" s="12" t="s">
        <v>132</v>
      </c>
      <c r="E30" s="35" t="s">
        <v>17</v>
      </c>
      <c r="F30" s="13">
        <v>91.169999999999987</v>
      </c>
      <c r="G30" s="10" t="s">
        <v>14</v>
      </c>
      <c r="H30" s="14">
        <v>4687.4522662881218</v>
      </c>
      <c r="I30" s="15">
        <v>1.0451366815003178</v>
      </c>
      <c r="J30" s="16">
        <v>665.88924019075898</v>
      </c>
      <c r="K30" s="16">
        <v>20.399232741073579</v>
      </c>
      <c r="L30" s="16">
        <v>16.513664599916709</v>
      </c>
      <c r="M30" s="19">
        <v>1089.3479944803451</v>
      </c>
      <c r="N30" s="20">
        <v>1845.77731182</v>
      </c>
      <c r="O30" s="21">
        <f t="shared" ref="O30:O57" si="1">M30+N30</f>
        <v>2935.1253063003451</v>
      </c>
      <c r="P30" s="17">
        <v>12.017797448433026</v>
      </c>
      <c r="Q30" s="10" t="s">
        <v>14</v>
      </c>
      <c r="R30" s="10" t="s">
        <v>15</v>
      </c>
      <c r="S30" s="10" t="s">
        <v>14</v>
      </c>
    </row>
    <row r="31" spans="1:19" s="18" customFormat="1" ht="30" x14ac:dyDescent="0.25">
      <c r="A31" s="10">
        <v>27</v>
      </c>
      <c r="B31" s="11" t="s">
        <v>50</v>
      </c>
      <c r="C31" s="12" t="s">
        <v>101</v>
      </c>
      <c r="D31" s="12" t="s">
        <v>133</v>
      </c>
      <c r="E31" s="35" t="s">
        <v>17</v>
      </c>
      <c r="F31" s="13">
        <v>15.48</v>
      </c>
      <c r="G31" s="10" t="s">
        <v>16</v>
      </c>
      <c r="H31" s="14">
        <v>260.23037820090883</v>
      </c>
      <c r="I31" s="15">
        <v>1.0040950040950041</v>
      </c>
      <c r="J31" s="16">
        <v>39.348279499115762</v>
      </c>
      <c r="K31" s="16">
        <v>0</v>
      </c>
      <c r="L31" s="16">
        <v>3.0349712461895941</v>
      </c>
      <c r="M31" s="19">
        <v>3980.4252314451592</v>
      </c>
      <c r="N31" s="20">
        <v>313.39950408000004</v>
      </c>
      <c r="O31" s="21">
        <f t="shared" si="1"/>
        <v>4293.8247355251588</v>
      </c>
      <c r="P31" s="17">
        <v>59.912464845683118</v>
      </c>
      <c r="Q31" s="10" t="s">
        <v>15</v>
      </c>
      <c r="R31" s="10" t="s">
        <v>15</v>
      </c>
      <c r="S31" s="10" t="s">
        <v>15</v>
      </c>
    </row>
    <row r="32" spans="1:19" s="18" customFormat="1" x14ac:dyDescent="0.25">
      <c r="A32" s="10">
        <v>28</v>
      </c>
      <c r="B32" s="11" t="s">
        <v>51</v>
      </c>
      <c r="C32" s="12" t="s">
        <v>101</v>
      </c>
      <c r="D32" s="12" t="s">
        <v>134</v>
      </c>
      <c r="E32" s="35" t="s">
        <v>17</v>
      </c>
      <c r="F32" s="13">
        <v>28.8</v>
      </c>
      <c r="G32" s="10" t="s">
        <v>16</v>
      </c>
      <c r="H32" s="14">
        <v>2629.3326714417412</v>
      </c>
      <c r="I32" s="15">
        <v>0.99609582963620236</v>
      </c>
      <c r="J32" s="16">
        <v>344.3285050705623</v>
      </c>
      <c r="K32" s="16">
        <v>7.4803205446422227</v>
      </c>
      <c r="L32" s="16">
        <v>4.3412574589441473</v>
      </c>
      <c r="M32" s="19">
        <v>28664.993289047154</v>
      </c>
      <c r="N32" s="20">
        <v>583.06884479999997</v>
      </c>
      <c r="O32" s="21">
        <f t="shared" si="1"/>
        <v>29248.062133847154</v>
      </c>
      <c r="P32" s="17">
        <v>1282.03066892371</v>
      </c>
      <c r="Q32" s="10" t="s">
        <v>14</v>
      </c>
      <c r="R32" s="10" t="s">
        <v>15</v>
      </c>
      <c r="S32" s="10" t="s">
        <v>15</v>
      </c>
    </row>
    <row r="33" spans="1:19" s="18" customFormat="1" x14ac:dyDescent="0.25">
      <c r="A33" s="10">
        <v>29</v>
      </c>
      <c r="B33" s="11" t="s">
        <v>52</v>
      </c>
      <c r="C33" s="12" t="s">
        <v>101</v>
      </c>
      <c r="D33" s="12" t="s">
        <v>135</v>
      </c>
      <c r="E33" s="35" t="s">
        <v>17</v>
      </c>
      <c r="F33" s="13">
        <v>18.63</v>
      </c>
      <c r="G33" s="10" t="s">
        <v>16</v>
      </c>
      <c r="H33" s="14">
        <v>1074.6863241652698</v>
      </c>
      <c r="I33" s="15">
        <v>0.98760380310506679</v>
      </c>
      <c r="J33" s="16">
        <v>137.95549544234768</v>
      </c>
      <c r="K33" s="16">
        <v>0.3904400814406066</v>
      </c>
      <c r="L33" s="16">
        <v>1.8570932078777571</v>
      </c>
      <c r="M33" s="19">
        <v>20856.855840322627</v>
      </c>
      <c r="N33" s="20">
        <v>377.17265897999994</v>
      </c>
      <c r="O33" s="21">
        <f t="shared" si="1"/>
        <v>21234.028499302625</v>
      </c>
      <c r="P33" s="17">
        <v>99.033823314532853</v>
      </c>
      <c r="Q33" s="10" t="s">
        <v>14</v>
      </c>
      <c r="R33" s="10" t="s">
        <v>15</v>
      </c>
      <c r="S33" s="10" t="s">
        <v>15</v>
      </c>
    </row>
    <row r="34" spans="1:19" s="18" customFormat="1" x14ac:dyDescent="0.25">
      <c r="A34" s="10">
        <v>30</v>
      </c>
      <c r="B34" s="11" t="s">
        <v>53</v>
      </c>
      <c r="C34" s="12" t="s">
        <v>101</v>
      </c>
      <c r="D34" s="12" t="s">
        <v>136</v>
      </c>
      <c r="E34" s="35" t="s">
        <v>17</v>
      </c>
      <c r="F34" s="13">
        <v>10.53</v>
      </c>
      <c r="G34" s="10" t="s">
        <v>16</v>
      </c>
      <c r="H34" s="14">
        <v>1520.4190012180268</v>
      </c>
      <c r="I34" s="15">
        <v>1.0213361315145155</v>
      </c>
      <c r="J34" s="16">
        <v>202.31912302070648</v>
      </c>
      <c r="K34" s="16">
        <v>2.3678440925700368</v>
      </c>
      <c r="L34" s="16">
        <v>2.5027639838845683</v>
      </c>
      <c r="M34" s="19">
        <v>64611.633654869387</v>
      </c>
      <c r="N34" s="20">
        <v>213.18454637999997</v>
      </c>
      <c r="O34" s="21">
        <f t="shared" si="1"/>
        <v>64824.818201249385</v>
      </c>
      <c r="P34" s="17">
        <v>19.010913545707318</v>
      </c>
      <c r="Q34" s="10" t="s">
        <v>14</v>
      </c>
      <c r="R34" s="10" t="s">
        <v>15</v>
      </c>
      <c r="S34" s="10" t="s">
        <v>15</v>
      </c>
    </row>
    <row r="35" spans="1:19" s="18" customFormat="1" x14ac:dyDescent="0.25">
      <c r="A35" s="10">
        <v>31</v>
      </c>
      <c r="B35" s="11" t="s">
        <v>54</v>
      </c>
      <c r="C35" s="12" t="s">
        <v>101</v>
      </c>
      <c r="D35" s="12" t="s">
        <v>137</v>
      </c>
      <c r="E35" s="35" t="s">
        <v>17</v>
      </c>
      <c r="F35" s="13">
        <v>0.09</v>
      </c>
      <c r="G35" s="10" t="s">
        <v>16</v>
      </c>
      <c r="H35" s="14">
        <v>0</v>
      </c>
      <c r="I35" s="15">
        <v>0.89816953971921099</v>
      </c>
      <c r="J35" s="16">
        <v>0</v>
      </c>
      <c r="K35" s="16">
        <v>0</v>
      </c>
      <c r="L35" s="16">
        <v>0</v>
      </c>
      <c r="M35" s="19">
        <v>0</v>
      </c>
      <c r="N35" s="20">
        <v>1.8220901399999998</v>
      </c>
      <c r="O35" s="21">
        <f t="shared" si="1"/>
        <v>1.8220901399999998</v>
      </c>
      <c r="P35" s="17">
        <v>0</v>
      </c>
      <c r="Q35" s="10" t="s">
        <v>15</v>
      </c>
      <c r="R35" s="10" t="s">
        <v>15</v>
      </c>
      <c r="S35" s="10" t="s">
        <v>15</v>
      </c>
    </row>
    <row r="36" spans="1:19" s="18" customFormat="1" x14ac:dyDescent="0.25">
      <c r="A36" s="10">
        <v>32</v>
      </c>
      <c r="B36" s="11" t="s">
        <v>55</v>
      </c>
      <c r="C36" s="12" t="s">
        <v>101</v>
      </c>
      <c r="D36" s="12" t="s">
        <v>138</v>
      </c>
      <c r="E36" s="35" t="s">
        <v>17</v>
      </c>
      <c r="F36" s="13">
        <v>29.609999999999996</v>
      </c>
      <c r="G36" s="10" t="s">
        <v>16</v>
      </c>
      <c r="H36" s="14">
        <v>9008.6898599966989</v>
      </c>
      <c r="I36" s="15">
        <v>0.9438827098078868</v>
      </c>
      <c r="J36" s="16">
        <v>1184.3674185249236</v>
      </c>
      <c r="K36" s="16">
        <v>1.1714811261374121</v>
      </c>
      <c r="L36" s="16">
        <v>23.950280801031532</v>
      </c>
      <c r="M36" s="19">
        <v>7915.6608925676246</v>
      </c>
      <c r="N36" s="20">
        <v>599.46765605999997</v>
      </c>
      <c r="O36" s="21">
        <f t="shared" si="1"/>
        <v>8515.1285486276247</v>
      </c>
      <c r="P36" s="17">
        <v>8.8799048340302082</v>
      </c>
      <c r="Q36" s="10" t="s">
        <v>14</v>
      </c>
      <c r="R36" s="10" t="s">
        <v>15</v>
      </c>
      <c r="S36" s="10" t="s">
        <v>15</v>
      </c>
    </row>
    <row r="37" spans="1:19" s="18" customFormat="1" x14ac:dyDescent="0.25">
      <c r="A37" s="10">
        <v>33</v>
      </c>
      <c r="B37" s="11" t="s">
        <v>56</v>
      </c>
      <c r="C37" s="12" t="s">
        <v>101</v>
      </c>
      <c r="D37" s="12" t="s">
        <v>139</v>
      </c>
      <c r="E37" s="35" t="s">
        <v>17</v>
      </c>
      <c r="F37" s="13">
        <v>16.559999999999999</v>
      </c>
      <c r="G37" s="10" t="s">
        <v>16</v>
      </c>
      <c r="H37" s="14">
        <v>4628.5907299680994</v>
      </c>
      <c r="I37" s="15">
        <v>0.99050976138828628</v>
      </c>
      <c r="J37" s="16">
        <v>623.89191217864516</v>
      </c>
      <c r="K37" s="16">
        <v>8.1966597860761876</v>
      </c>
      <c r="L37" s="16">
        <v>5.8547569900544207</v>
      </c>
      <c r="M37" s="19">
        <v>12221.0770215884</v>
      </c>
      <c r="N37" s="20">
        <v>335.26458575999993</v>
      </c>
      <c r="O37" s="21">
        <f t="shared" si="1"/>
        <v>12556.3416073484</v>
      </c>
      <c r="P37" s="17">
        <v>14.691257654739612</v>
      </c>
      <c r="Q37" s="10" t="s">
        <v>14</v>
      </c>
      <c r="R37" s="10" t="s">
        <v>15</v>
      </c>
      <c r="S37" s="10" t="s">
        <v>15</v>
      </c>
    </row>
    <row r="38" spans="1:19" s="18" customFormat="1" x14ac:dyDescent="0.25">
      <c r="A38" s="10">
        <v>34</v>
      </c>
      <c r="B38" s="11" t="s">
        <v>57</v>
      </c>
      <c r="C38" s="12" t="s">
        <v>102</v>
      </c>
      <c r="D38" s="12" t="s">
        <v>140</v>
      </c>
      <c r="E38" s="35" t="s">
        <v>17</v>
      </c>
      <c r="F38" s="13">
        <v>168.3</v>
      </c>
      <c r="G38" s="10" t="s">
        <v>15</v>
      </c>
      <c r="H38" s="14">
        <v>13827.810262814217</v>
      </c>
      <c r="I38" s="15">
        <v>0.96617588539594113</v>
      </c>
      <c r="J38" s="16">
        <v>1796.6918009971112</v>
      </c>
      <c r="K38" s="16">
        <v>86.756146154066116</v>
      </c>
      <c r="L38" s="16">
        <v>28.54557067004756</v>
      </c>
      <c r="M38" s="19">
        <v>103905.86344747481</v>
      </c>
      <c r="N38" s="20">
        <v>3407.3085618</v>
      </c>
      <c r="O38" s="21">
        <f t="shared" si="1"/>
        <v>107313.17200927481</v>
      </c>
      <c r="P38" s="17">
        <v>0</v>
      </c>
      <c r="Q38" s="10" t="s">
        <v>14</v>
      </c>
      <c r="R38" s="10" t="s">
        <v>15</v>
      </c>
      <c r="S38" s="10" t="s">
        <v>15</v>
      </c>
    </row>
    <row r="39" spans="1:19" s="18" customFormat="1" x14ac:dyDescent="0.25">
      <c r="A39" s="10">
        <v>35</v>
      </c>
      <c r="B39" s="11" t="s">
        <v>58</v>
      </c>
      <c r="C39" s="12" t="s">
        <v>102</v>
      </c>
      <c r="D39" s="12" t="s">
        <v>141</v>
      </c>
      <c r="E39" s="35" t="s">
        <v>17</v>
      </c>
      <c r="F39" s="13">
        <v>69.12</v>
      </c>
      <c r="G39" s="10" t="s">
        <v>15</v>
      </c>
      <c r="H39" s="14">
        <v>1092.6394835248209</v>
      </c>
      <c r="I39" s="15">
        <v>0.96289700207776785</v>
      </c>
      <c r="J39" s="16">
        <v>153.49494634727938</v>
      </c>
      <c r="K39" s="16">
        <v>2.1479378929113366</v>
      </c>
      <c r="L39" s="16">
        <v>3.0684827041590532</v>
      </c>
      <c r="M39" s="19">
        <v>12559.296675033693</v>
      </c>
      <c r="N39" s="20">
        <v>1399.36522752</v>
      </c>
      <c r="O39" s="21">
        <f t="shared" si="1"/>
        <v>13958.661902553693</v>
      </c>
      <c r="P39" s="17">
        <v>0</v>
      </c>
      <c r="Q39" s="10" t="s">
        <v>14</v>
      </c>
      <c r="R39" s="10" t="s">
        <v>15</v>
      </c>
      <c r="S39" s="10" t="s">
        <v>14</v>
      </c>
    </row>
    <row r="40" spans="1:19" s="18" customFormat="1" x14ac:dyDescent="0.25">
      <c r="A40" s="10">
        <v>36</v>
      </c>
      <c r="B40" s="11" t="s">
        <v>59</v>
      </c>
      <c r="C40" s="12" t="s">
        <v>102</v>
      </c>
      <c r="D40" s="12" t="s">
        <v>142</v>
      </c>
      <c r="E40" s="35" t="s">
        <v>17</v>
      </c>
      <c r="F40" s="13">
        <v>282.23999999999995</v>
      </c>
      <c r="G40" s="10" t="s">
        <v>15</v>
      </c>
      <c r="H40" s="14">
        <v>8200.3798934300594</v>
      </c>
      <c r="I40" s="15">
        <v>0.85551504102096632</v>
      </c>
      <c r="J40" s="16">
        <v>968.89774717265016</v>
      </c>
      <c r="K40" s="16">
        <v>12.086042584274223</v>
      </c>
      <c r="L40" s="16">
        <v>20.546272393266175</v>
      </c>
      <c r="M40" s="19">
        <v>11715.527072066696</v>
      </c>
      <c r="N40" s="20">
        <v>5714.0746790400008</v>
      </c>
      <c r="O40" s="21">
        <f t="shared" si="1"/>
        <v>17429.601751106697</v>
      </c>
      <c r="P40" s="17">
        <v>0</v>
      </c>
      <c r="Q40" s="10" t="s">
        <v>14</v>
      </c>
      <c r="R40" s="10" t="s">
        <v>15</v>
      </c>
      <c r="S40" s="10" t="s">
        <v>15</v>
      </c>
    </row>
    <row r="41" spans="1:19" s="18" customFormat="1" x14ac:dyDescent="0.25">
      <c r="A41" s="10">
        <v>37</v>
      </c>
      <c r="B41" s="11" t="s">
        <v>60</v>
      </c>
      <c r="C41" s="12" t="s">
        <v>102</v>
      </c>
      <c r="D41" s="12" t="s">
        <v>143</v>
      </c>
      <c r="E41" s="35" t="s">
        <v>17</v>
      </c>
      <c r="F41" s="13">
        <v>126.9</v>
      </c>
      <c r="G41" s="10" t="s">
        <v>15</v>
      </c>
      <c r="H41" s="14">
        <v>4800.5522040215619</v>
      </c>
      <c r="I41" s="15">
        <v>0.9076015727391874</v>
      </c>
      <c r="J41" s="16">
        <v>456.25310080589679</v>
      </c>
      <c r="K41" s="16">
        <v>8.7952404974630696</v>
      </c>
      <c r="L41" s="16">
        <v>11.238362857869477</v>
      </c>
      <c r="M41" s="19">
        <v>6529.0962267320001</v>
      </c>
      <c r="N41" s="20">
        <v>2569.1470973999994</v>
      </c>
      <c r="O41" s="21">
        <f t="shared" si="1"/>
        <v>9098.2433241319995</v>
      </c>
      <c r="P41" s="17">
        <v>107.88775057143066</v>
      </c>
      <c r="Q41" s="10" t="s">
        <v>14</v>
      </c>
      <c r="R41" s="10" t="s">
        <v>15</v>
      </c>
      <c r="S41" s="10" t="s">
        <v>14</v>
      </c>
    </row>
    <row r="42" spans="1:19" s="18" customFormat="1" x14ac:dyDescent="0.25">
      <c r="A42" s="10">
        <v>38</v>
      </c>
      <c r="B42" s="11" t="s">
        <v>61</v>
      </c>
      <c r="C42" s="12" t="s">
        <v>102</v>
      </c>
      <c r="D42" s="12" t="s">
        <v>144</v>
      </c>
      <c r="E42" s="35" t="s">
        <v>17</v>
      </c>
      <c r="F42" s="13">
        <v>84.6</v>
      </c>
      <c r="G42" s="10" t="s">
        <v>15</v>
      </c>
      <c r="H42" s="14">
        <v>6903.4312210200933</v>
      </c>
      <c r="I42" s="15">
        <v>1.0070076223260389</v>
      </c>
      <c r="J42" s="16">
        <v>886.34559505409584</v>
      </c>
      <c r="K42" s="16">
        <v>8.4574961360123648</v>
      </c>
      <c r="L42" s="16">
        <v>7.2828438948995364</v>
      </c>
      <c r="M42" s="19">
        <v>88300.498828054566</v>
      </c>
      <c r="N42" s="20">
        <v>1712.7647316</v>
      </c>
      <c r="O42" s="21">
        <f t="shared" si="1"/>
        <v>90013.263559654559</v>
      </c>
      <c r="P42" s="17">
        <v>704.21219424244248</v>
      </c>
      <c r="Q42" s="10" t="s">
        <v>14</v>
      </c>
      <c r="R42" s="10" t="s">
        <v>15</v>
      </c>
      <c r="S42" s="10" t="s">
        <v>14</v>
      </c>
    </row>
    <row r="43" spans="1:19" s="18" customFormat="1" x14ac:dyDescent="0.25">
      <c r="A43" s="10">
        <v>39</v>
      </c>
      <c r="B43" s="11" t="s">
        <v>62</v>
      </c>
      <c r="C43" s="12" t="s">
        <v>102</v>
      </c>
      <c r="D43" s="12" t="s">
        <v>145</v>
      </c>
      <c r="E43" s="35" t="s">
        <v>17</v>
      </c>
      <c r="F43" s="13">
        <v>116.37</v>
      </c>
      <c r="G43" s="10" t="s">
        <v>15</v>
      </c>
      <c r="H43" s="14">
        <v>6150.8642172205491</v>
      </c>
      <c r="I43" s="15">
        <v>1.016914749661705</v>
      </c>
      <c r="J43" s="16">
        <v>868.67287334781986</v>
      </c>
      <c r="K43" s="16">
        <v>33.013695899204556</v>
      </c>
      <c r="L43" s="16">
        <v>44.018261198939406</v>
      </c>
      <c r="M43" s="19">
        <v>17862.112784118151</v>
      </c>
      <c r="N43" s="20">
        <v>2355.9625510199999</v>
      </c>
      <c r="O43" s="21">
        <f t="shared" si="1"/>
        <v>20218.07533513815</v>
      </c>
      <c r="P43" s="17">
        <v>81.802276805409036</v>
      </c>
      <c r="Q43" s="10" t="s">
        <v>14</v>
      </c>
      <c r="R43" s="10" t="s">
        <v>15</v>
      </c>
      <c r="S43" s="10" t="s">
        <v>14</v>
      </c>
    </row>
    <row r="44" spans="1:19" s="18" customFormat="1" x14ac:dyDescent="0.25">
      <c r="A44" s="10">
        <v>40</v>
      </c>
      <c r="B44" s="11" t="s">
        <v>63</v>
      </c>
      <c r="C44" s="12" t="s">
        <v>103</v>
      </c>
      <c r="D44" s="12" t="s">
        <v>146</v>
      </c>
      <c r="E44" s="35" t="s">
        <v>17</v>
      </c>
      <c r="F44" s="13">
        <v>59.04</v>
      </c>
      <c r="G44" s="10" t="s">
        <v>14</v>
      </c>
      <c r="H44" s="14">
        <v>5886.1081636939425</v>
      </c>
      <c r="I44" s="15">
        <v>0.9778138528138528</v>
      </c>
      <c r="J44" s="16">
        <v>800.38187615756215</v>
      </c>
      <c r="K44" s="16">
        <v>0</v>
      </c>
      <c r="L44" s="16">
        <v>12.776048727397706</v>
      </c>
      <c r="M44" s="19">
        <v>31075.070455468453</v>
      </c>
      <c r="N44" s="20">
        <v>1195.2911318399999</v>
      </c>
      <c r="O44" s="21">
        <f t="shared" si="1"/>
        <v>32270.361587308453</v>
      </c>
      <c r="P44" s="17">
        <v>0</v>
      </c>
      <c r="Q44" s="10" t="s">
        <v>14</v>
      </c>
      <c r="R44" s="10" t="s">
        <v>15</v>
      </c>
      <c r="S44" s="10" t="s">
        <v>14</v>
      </c>
    </row>
    <row r="45" spans="1:19" s="18" customFormat="1" x14ac:dyDescent="0.25">
      <c r="A45" s="10">
        <v>41</v>
      </c>
      <c r="B45" s="11" t="s">
        <v>64</v>
      </c>
      <c r="C45" s="12" t="s">
        <v>103</v>
      </c>
      <c r="D45" s="12" t="s">
        <v>147</v>
      </c>
      <c r="E45" s="35" t="s">
        <v>17</v>
      </c>
      <c r="F45" s="13">
        <v>52.47</v>
      </c>
      <c r="G45" s="10" t="s">
        <v>14</v>
      </c>
      <c r="H45" s="14">
        <v>4067.3879443585779</v>
      </c>
      <c r="I45" s="15">
        <v>1.0078969957081545</v>
      </c>
      <c r="J45" s="16">
        <v>532.76661514683144</v>
      </c>
      <c r="K45" s="16">
        <v>6.2596599690880987</v>
      </c>
      <c r="L45" s="16">
        <v>7.418856259659969</v>
      </c>
      <c r="M45" s="19">
        <v>34697.883375675854</v>
      </c>
      <c r="N45" s="20">
        <v>1062.2785516199999</v>
      </c>
      <c r="O45" s="21">
        <f t="shared" si="1"/>
        <v>35760.161927295856</v>
      </c>
      <c r="P45" s="17">
        <v>112.42293879134517</v>
      </c>
      <c r="Q45" s="10" t="s">
        <v>14</v>
      </c>
      <c r="R45" s="10" t="s">
        <v>15</v>
      </c>
      <c r="S45" s="10" t="s">
        <v>14</v>
      </c>
    </row>
    <row r="46" spans="1:19" s="18" customFormat="1" x14ac:dyDescent="0.25">
      <c r="A46" s="10">
        <v>42</v>
      </c>
      <c r="B46" s="11" t="s">
        <v>65</v>
      </c>
      <c r="C46" s="12" t="s">
        <v>103</v>
      </c>
      <c r="D46" s="12" t="s">
        <v>148</v>
      </c>
      <c r="E46" s="35" t="s">
        <v>17</v>
      </c>
      <c r="F46" s="13">
        <v>49.5</v>
      </c>
      <c r="G46" s="10" t="s">
        <v>14</v>
      </c>
      <c r="H46" s="14">
        <v>6361.8140635515647</v>
      </c>
      <c r="I46" s="15">
        <v>0.98170051327828611</v>
      </c>
      <c r="J46" s="16">
        <v>757.61468155470493</v>
      </c>
      <c r="K46" s="16">
        <v>1.4328410053044065</v>
      </c>
      <c r="L46" s="16">
        <v>6.1691765506161937</v>
      </c>
      <c r="M46" s="19">
        <v>25221.156687606643</v>
      </c>
      <c r="N46" s="20">
        <v>1002.149577</v>
      </c>
      <c r="O46" s="21">
        <f t="shared" si="1"/>
        <v>26223.306264606643</v>
      </c>
      <c r="P46" s="17">
        <v>204.67688245331402</v>
      </c>
      <c r="Q46" s="10" t="s">
        <v>14</v>
      </c>
      <c r="R46" s="10" t="s">
        <v>15</v>
      </c>
      <c r="S46" s="10" t="s">
        <v>14</v>
      </c>
    </row>
    <row r="47" spans="1:19" s="18" customFormat="1" x14ac:dyDescent="0.25">
      <c r="A47" s="10">
        <v>43</v>
      </c>
      <c r="B47" s="11" t="s">
        <v>66</v>
      </c>
      <c r="C47" s="12" t="s">
        <v>103</v>
      </c>
      <c r="D47" s="12" t="s">
        <v>149</v>
      </c>
      <c r="E47" s="35" t="s">
        <v>17</v>
      </c>
      <c r="F47" s="13">
        <v>64.260000000000005</v>
      </c>
      <c r="G47" s="10" t="s">
        <v>15</v>
      </c>
      <c r="H47" s="14">
        <v>6393.9672064333072</v>
      </c>
      <c r="I47" s="15">
        <v>0.81902851411376987</v>
      </c>
      <c r="J47" s="16">
        <v>735.84766353675161</v>
      </c>
      <c r="K47" s="16">
        <v>14.606148009969745</v>
      </c>
      <c r="L47" s="16">
        <v>13.88663332967567</v>
      </c>
      <c r="M47" s="19">
        <v>68973.291962304094</v>
      </c>
      <c r="N47" s="20">
        <v>1300.9723599599997</v>
      </c>
      <c r="O47" s="21">
        <f t="shared" si="1"/>
        <v>70274.264322264091</v>
      </c>
      <c r="P47" s="17">
        <v>300.1108470655808</v>
      </c>
      <c r="Q47" s="10" t="s">
        <v>14</v>
      </c>
      <c r="R47" s="10" t="s">
        <v>15</v>
      </c>
      <c r="S47" s="10" t="s">
        <v>14</v>
      </c>
    </row>
    <row r="48" spans="1:19" s="18" customFormat="1" x14ac:dyDescent="0.25">
      <c r="A48" s="10">
        <v>44</v>
      </c>
      <c r="B48" s="11" t="s">
        <v>67</v>
      </c>
      <c r="C48" s="12" t="s">
        <v>103</v>
      </c>
      <c r="D48" s="12" t="s">
        <v>150</v>
      </c>
      <c r="E48" s="35" t="s">
        <v>17</v>
      </c>
      <c r="F48" s="13">
        <v>36.72</v>
      </c>
      <c r="G48" s="10" t="s">
        <v>14</v>
      </c>
      <c r="H48" s="14">
        <v>4188.1559710705078</v>
      </c>
      <c r="I48" s="15">
        <v>1</v>
      </c>
      <c r="J48" s="16">
        <v>591.4343883506441</v>
      </c>
      <c r="K48" s="16">
        <v>1.2773960871504191</v>
      </c>
      <c r="L48" s="16">
        <v>6.7560059720399952</v>
      </c>
      <c r="M48" s="19">
        <v>143084.6251416851</v>
      </c>
      <c r="N48" s="20">
        <v>743.41277711999999</v>
      </c>
      <c r="O48" s="21">
        <f t="shared" si="1"/>
        <v>143828.03791880509</v>
      </c>
      <c r="P48" s="17">
        <v>13.970625141685108</v>
      </c>
      <c r="Q48" s="10" t="s">
        <v>14</v>
      </c>
      <c r="R48" s="10" t="s">
        <v>15</v>
      </c>
      <c r="S48" s="10" t="s">
        <v>14</v>
      </c>
    </row>
    <row r="49" spans="1:19" s="18" customFormat="1" x14ac:dyDescent="0.25">
      <c r="A49" s="10">
        <v>45</v>
      </c>
      <c r="B49" s="11" t="s">
        <v>68</v>
      </c>
      <c r="C49" s="12" t="s">
        <v>103</v>
      </c>
      <c r="D49" s="12" t="s">
        <v>151</v>
      </c>
      <c r="E49" s="35" t="s">
        <v>17</v>
      </c>
      <c r="F49" s="13">
        <v>56.16</v>
      </c>
      <c r="G49" s="10" t="s">
        <v>14</v>
      </c>
      <c r="H49" s="14">
        <v>3131.252156411731</v>
      </c>
      <c r="I49" s="15">
        <v>1.039143598615917</v>
      </c>
      <c r="J49" s="16">
        <v>346.69925244393329</v>
      </c>
      <c r="K49" s="16">
        <v>0.66417481311098325</v>
      </c>
      <c r="L49" s="16">
        <v>6.7893425340233851</v>
      </c>
      <c r="M49" s="19">
        <v>79550.47572492373</v>
      </c>
      <c r="N49" s="20">
        <v>1136.9842473599999</v>
      </c>
      <c r="O49" s="21">
        <f t="shared" si="1"/>
        <v>80687.45997228373</v>
      </c>
      <c r="P49" s="17">
        <v>2187.1828441998864</v>
      </c>
      <c r="Q49" s="10" t="s">
        <v>14</v>
      </c>
      <c r="R49" s="10" t="s">
        <v>15</v>
      </c>
      <c r="S49" s="10" t="s">
        <v>14</v>
      </c>
    </row>
    <row r="50" spans="1:19" s="18" customFormat="1" x14ac:dyDescent="0.25">
      <c r="A50" s="10">
        <v>46</v>
      </c>
      <c r="B50" s="11" t="s">
        <v>69</v>
      </c>
      <c r="C50" s="12" t="s">
        <v>103</v>
      </c>
      <c r="D50" s="12" t="s">
        <v>152</v>
      </c>
      <c r="E50" s="35" t="s">
        <v>17</v>
      </c>
      <c r="F50" s="13">
        <v>56.97</v>
      </c>
      <c r="G50" s="10" t="s">
        <v>14</v>
      </c>
      <c r="H50" s="14">
        <v>124920.96777283264</v>
      </c>
      <c r="I50" s="15">
        <v>1.0093622001170275</v>
      </c>
      <c r="J50" s="16">
        <v>17734.121080156059</v>
      </c>
      <c r="K50" s="16">
        <v>527.47642187130839</v>
      </c>
      <c r="L50" s="16">
        <v>337.79278247916307</v>
      </c>
      <c r="M50" s="19">
        <v>91015.218116227596</v>
      </c>
      <c r="N50" s="20">
        <v>1153.3830586199999</v>
      </c>
      <c r="O50" s="21">
        <f t="shared" si="1"/>
        <v>92168.601174847601</v>
      </c>
      <c r="P50" s="17">
        <v>2264.9227470789929</v>
      </c>
      <c r="Q50" s="10" t="s">
        <v>14</v>
      </c>
      <c r="R50" s="10" t="s">
        <v>15</v>
      </c>
      <c r="S50" s="10" t="s">
        <v>14</v>
      </c>
    </row>
    <row r="51" spans="1:19" s="18" customFormat="1" x14ac:dyDescent="0.25">
      <c r="A51" s="10">
        <v>47</v>
      </c>
      <c r="B51" s="11" t="s">
        <v>70</v>
      </c>
      <c r="C51" s="12" t="s">
        <v>103</v>
      </c>
      <c r="D51" s="12" t="s">
        <v>153</v>
      </c>
      <c r="E51" s="35" t="s">
        <v>17</v>
      </c>
      <c r="F51" s="13">
        <v>48.96</v>
      </c>
      <c r="G51" s="10" t="s">
        <v>14</v>
      </c>
      <c r="H51" s="14">
        <v>2444.2407035523856</v>
      </c>
      <c r="I51" s="15">
        <v>0.99674160964483549</v>
      </c>
      <c r="J51" s="16">
        <v>314.70396786926119</v>
      </c>
      <c r="K51" s="16">
        <v>1.9943217228723773</v>
      </c>
      <c r="L51" s="16">
        <v>5.6914873783511695</v>
      </c>
      <c r="M51" s="19">
        <v>82603.82727213364</v>
      </c>
      <c r="N51" s="20">
        <v>991.21703616000002</v>
      </c>
      <c r="O51" s="21">
        <f t="shared" si="1"/>
        <v>83595.04430829364</v>
      </c>
      <c r="P51" s="17">
        <v>244.39649921938843</v>
      </c>
      <c r="Q51" s="10" t="s">
        <v>14</v>
      </c>
      <c r="R51" s="10" t="s">
        <v>15</v>
      </c>
      <c r="S51" s="10" t="s">
        <v>14</v>
      </c>
    </row>
    <row r="52" spans="1:19" s="18" customFormat="1" x14ac:dyDescent="0.25">
      <c r="A52" s="10">
        <v>48</v>
      </c>
      <c r="B52" s="11" t="s">
        <v>71</v>
      </c>
      <c r="C52" s="12" t="s">
        <v>103</v>
      </c>
      <c r="D52" s="12" t="s">
        <v>154</v>
      </c>
      <c r="E52" s="35" t="s">
        <v>17</v>
      </c>
      <c r="F52" s="13">
        <v>50.76</v>
      </c>
      <c r="G52" s="10" t="s">
        <v>15</v>
      </c>
      <c r="H52" s="14">
        <v>4778.1018010700918</v>
      </c>
      <c r="I52" s="15">
        <v>1.0024937655860349</v>
      </c>
      <c r="J52" s="16">
        <v>708.9373602726306</v>
      </c>
      <c r="K52" s="16">
        <v>0.85004479648996478</v>
      </c>
      <c r="L52" s="16">
        <v>13.487377437640774</v>
      </c>
      <c r="M52" s="19">
        <v>28569.184620214161</v>
      </c>
      <c r="N52" s="20">
        <v>1027.6588389600001</v>
      </c>
      <c r="O52" s="21">
        <f t="shared" si="1"/>
        <v>29596.843459174161</v>
      </c>
      <c r="P52" s="17">
        <v>15.245629385296887</v>
      </c>
      <c r="Q52" s="10" t="s">
        <v>14</v>
      </c>
      <c r="R52" s="10" t="s">
        <v>15</v>
      </c>
      <c r="S52" s="10" t="s">
        <v>14</v>
      </c>
    </row>
    <row r="53" spans="1:19" s="18" customFormat="1" x14ac:dyDescent="0.25">
      <c r="A53" s="10">
        <v>49</v>
      </c>
      <c r="B53" s="11" t="s">
        <v>72</v>
      </c>
      <c r="C53" s="12" t="s">
        <v>104</v>
      </c>
      <c r="D53" s="12" t="s">
        <v>155</v>
      </c>
      <c r="E53" s="35" t="s">
        <v>17</v>
      </c>
      <c r="F53" s="13">
        <v>19.709999999999997</v>
      </c>
      <c r="G53" s="10" t="s">
        <v>16</v>
      </c>
      <c r="H53" s="14">
        <v>3072.9537850914548</v>
      </c>
      <c r="I53" s="15">
        <v>1.0372920252438325</v>
      </c>
      <c r="J53" s="16">
        <v>376.43900211624413</v>
      </c>
      <c r="K53" s="16">
        <v>11.249901212669364</v>
      </c>
      <c r="L53" s="16">
        <v>14.855638780832624</v>
      </c>
      <c r="M53" s="19">
        <v>93590.524319245509</v>
      </c>
      <c r="N53" s="20">
        <v>399.03774065999994</v>
      </c>
      <c r="O53" s="21">
        <f t="shared" si="1"/>
        <v>93989.562059905511</v>
      </c>
      <c r="P53" s="17">
        <v>0</v>
      </c>
      <c r="Q53" s="10" t="s">
        <v>14</v>
      </c>
      <c r="R53" s="10" t="s">
        <v>16</v>
      </c>
      <c r="S53" s="10" t="s">
        <v>15</v>
      </c>
    </row>
    <row r="54" spans="1:19" s="18" customFormat="1" x14ac:dyDescent="0.25">
      <c r="A54" s="10">
        <v>50</v>
      </c>
      <c r="B54" s="11" t="s">
        <v>73</v>
      </c>
      <c r="C54" s="12" t="s">
        <v>104</v>
      </c>
      <c r="D54" s="12" t="s">
        <v>156</v>
      </c>
      <c r="E54" s="35" t="s">
        <v>17</v>
      </c>
      <c r="F54" s="13">
        <v>1.7999999999999998</v>
      </c>
      <c r="G54" s="10" t="s">
        <v>15</v>
      </c>
      <c r="H54" s="14">
        <v>295.5415994244716</v>
      </c>
      <c r="I54" s="15">
        <v>1.0873386432298819</v>
      </c>
      <c r="J54" s="16">
        <v>29.748595205226415</v>
      </c>
      <c r="K54" s="16">
        <v>0.38887052555851526</v>
      </c>
      <c r="L54" s="16">
        <v>0.79502418558629784</v>
      </c>
      <c r="M54" s="19">
        <v>605.09420762322668</v>
      </c>
      <c r="N54" s="20">
        <v>36.441802799999998</v>
      </c>
      <c r="O54" s="21">
        <f t="shared" si="1"/>
        <v>641.53601042322668</v>
      </c>
      <c r="P54" s="17">
        <v>1.8279010665283333</v>
      </c>
      <c r="Q54" s="10" t="s">
        <v>15</v>
      </c>
      <c r="R54" s="10" t="s">
        <v>16</v>
      </c>
      <c r="S54" s="10" t="s">
        <v>15</v>
      </c>
    </row>
    <row r="55" spans="1:19" s="18" customFormat="1" x14ac:dyDescent="0.25">
      <c r="A55" s="10">
        <v>51</v>
      </c>
      <c r="B55" s="11" t="s">
        <v>74</v>
      </c>
      <c r="C55" s="12" t="s">
        <v>104</v>
      </c>
      <c r="D55" s="12" t="s">
        <v>157</v>
      </c>
      <c r="E55" s="35" t="s">
        <v>17</v>
      </c>
      <c r="F55" s="13">
        <v>55.98</v>
      </c>
      <c r="G55" s="10" t="s">
        <v>16</v>
      </c>
      <c r="H55" s="14">
        <v>2135.52481199043</v>
      </c>
      <c r="I55" s="15">
        <v>0.98503960105602817</v>
      </c>
      <c r="J55" s="16">
        <v>236.68444051911075</v>
      </c>
      <c r="K55" s="16">
        <v>1.893475524152886</v>
      </c>
      <c r="L55" s="16">
        <v>6.4518425267431665</v>
      </c>
      <c r="M55" s="19">
        <v>12479.371301496361</v>
      </c>
      <c r="N55" s="20">
        <v>1133.3400670800002</v>
      </c>
      <c r="O55" s="21">
        <f t="shared" si="1"/>
        <v>13612.711368576362</v>
      </c>
      <c r="P55" s="17">
        <v>1612.5753124269722</v>
      </c>
      <c r="Q55" s="10" t="s">
        <v>14</v>
      </c>
      <c r="R55" s="10" t="s">
        <v>16</v>
      </c>
      <c r="S55" s="10" t="s">
        <v>15</v>
      </c>
    </row>
    <row r="56" spans="1:19" s="18" customFormat="1" x14ac:dyDescent="0.25">
      <c r="A56" s="10">
        <v>52</v>
      </c>
      <c r="B56" s="11" t="s">
        <v>75</v>
      </c>
      <c r="C56" s="12" t="s">
        <v>104</v>
      </c>
      <c r="D56" s="12" t="s">
        <v>158</v>
      </c>
      <c r="E56" s="35" t="s">
        <v>17</v>
      </c>
      <c r="F56" s="13">
        <v>18.36</v>
      </c>
      <c r="G56" s="10" t="s">
        <v>15</v>
      </c>
      <c r="H56" s="14">
        <v>704.18933846090908</v>
      </c>
      <c r="I56" s="15">
        <v>0.98529411764705888</v>
      </c>
      <c r="J56" s="16">
        <v>100.98596735261629</v>
      </c>
      <c r="K56" s="16">
        <v>0</v>
      </c>
      <c r="L56" s="16">
        <v>4.265706609936041</v>
      </c>
      <c r="M56" s="19">
        <v>29137.253883048652</v>
      </c>
      <c r="N56" s="20">
        <v>371.70638855999999</v>
      </c>
      <c r="O56" s="21">
        <f t="shared" si="1"/>
        <v>29508.960271608652</v>
      </c>
      <c r="P56" s="17">
        <v>5906.4626324185847</v>
      </c>
      <c r="Q56" s="10" t="s">
        <v>14</v>
      </c>
      <c r="R56" s="10" t="s">
        <v>16</v>
      </c>
      <c r="S56" s="10" t="s">
        <v>14</v>
      </c>
    </row>
    <row r="57" spans="1:19" s="18" customFormat="1" x14ac:dyDescent="0.25">
      <c r="A57" s="10">
        <v>53</v>
      </c>
      <c r="B57" s="11" t="s">
        <v>76</v>
      </c>
      <c r="C57" s="12" t="s">
        <v>104</v>
      </c>
      <c r="D57" s="12" t="s">
        <v>159</v>
      </c>
      <c r="E57" s="35" t="s">
        <v>17</v>
      </c>
      <c r="F57" s="13">
        <v>28.98</v>
      </c>
      <c r="G57" s="10" t="s">
        <v>14</v>
      </c>
      <c r="H57" s="14">
        <v>1444.1011642805415</v>
      </c>
      <c r="I57" s="15">
        <v>1.0152553614857396</v>
      </c>
      <c r="J57" s="16">
        <v>197.24695003063897</v>
      </c>
      <c r="K57" s="16">
        <v>0</v>
      </c>
      <c r="L57" s="16">
        <v>2.5137763912873936</v>
      </c>
      <c r="M57" s="19">
        <v>5312.3015963382149</v>
      </c>
      <c r="N57" s="20">
        <v>586.71302507999997</v>
      </c>
      <c r="O57" s="21">
        <f t="shared" si="1"/>
        <v>5899.014621418215</v>
      </c>
      <c r="P57" s="17">
        <v>0</v>
      </c>
      <c r="Q57" s="10" t="s">
        <v>14</v>
      </c>
      <c r="R57" s="10" t="s">
        <v>16</v>
      </c>
      <c r="S57" s="10" t="s">
        <v>14</v>
      </c>
    </row>
    <row r="58" spans="1:19" s="18" customFormat="1" x14ac:dyDescent="0.25">
      <c r="A58" s="10">
        <v>54</v>
      </c>
      <c r="B58" s="11" t="s">
        <v>77</v>
      </c>
      <c r="C58" s="12" t="s">
        <v>104</v>
      </c>
      <c r="D58" s="12" t="s">
        <v>160</v>
      </c>
      <c r="E58" s="35" t="s">
        <v>17</v>
      </c>
      <c r="F58" s="13">
        <v>6.66</v>
      </c>
      <c r="G58" s="10" t="s">
        <v>14</v>
      </c>
      <c r="H58" s="14">
        <v>0</v>
      </c>
      <c r="I58" s="15">
        <v>0.92608695652173911</v>
      </c>
      <c r="J58" s="16">
        <v>0</v>
      </c>
      <c r="K58" s="16">
        <v>0</v>
      </c>
      <c r="L58" s="16">
        <v>0</v>
      </c>
      <c r="M58" s="19">
        <v>0</v>
      </c>
      <c r="N58" s="20">
        <v>134.83467035999999</v>
      </c>
      <c r="O58" s="21">
        <f t="shared" ref="O58:O80" si="2">M58+N58</f>
        <v>134.83467035999999</v>
      </c>
      <c r="P58" s="17">
        <v>0</v>
      </c>
      <c r="Q58" s="10" t="s">
        <v>15</v>
      </c>
      <c r="R58" s="10" t="s">
        <v>15</v>
      </c>
      <c r="S58" s="10" t="s">
        <v>15</v>
      </c>
    </row>
    <row r="59" spans="1:19" s="18" customFormat="1" x14ac:dyDescent="0.25">
      <c r="A59" s="10">
        <v>55</v>
      </c>
      <c r="B59" s="11" t="s">
        <v>78</v>
      </c>
      <c r="C59" s="12" t="s">
        <v>104</v>
      </c>
      <c r="D59" s="12" t="s">
        <v>161</v>
      </c>
      <c r="E59" s="35" t="s">
        <v>17</v>
      </c>
      <c r="F59" s="13">
        <v>128.25</v>
      </c>
      <c r="G59" s="10" t="s">
        <v>14</v>
      </c>
      <c r="H59" s="14">
        <v>3.4880589391570829</v>
      </c>
      <c r="I59" s="15">
        <v>0.99363057324840764</v>
      </c>
      <c r="J59" s="16">
        <v>0.47919020569889642</v>
      </c>
      <c r="K59" s="16">
        <v>2.0059124889721242E-2</v>
      </c>
      <c r="L59" s="16">
        <v>3.8260923400764597E-2</v>
      </c>
      <c r="M59" s="19">
        <v>9.8512591125075453</v>
      </c>
      <c r="N59" s="20">
        <v>2596.4784494999999</v>
      </c>
      <c r="O59" s="21">
        <f t="shared" si="2"/>
        <v>2606.3297086125076</v>
      </c>
      <c r="P59" s="17">
        <v>115.86579300097509</v>
      </c>
      <c r="Q59" s="10" t="s">
        <v>15</v>
      </c>
      <c r="R59" s="10" t="s">
        <v>15</v>
      </c>
      <c r="S59" s="10" t="s">
        <v>15</v>
      </c>
    </row>
    <row r="60" spans="1:19" s="18" customFormat="1" x14ac:dyDescent="0.25">
      <c r="A60" s="10">
        <v>56</v>
      </c>
      <c r="B60" s="11" t="s">
        <v>79</v>
      </c>
      <c r="C60" s="12" t="s">
        <v>104</v>
      </c>
      <c r="D60" s="12" t="s">
        <v>162</v>
      </c>
      <c r="E60" s="35" t="s">
        <v>17</v>
      </c>
      <c r="F60" s="13">
        <v>73.260000000000005</v>
      </c>
      <c r="G60" s="10" t="s">
        <v>15</v>
      </c>
      <c r="H60" s="14">
        <v>5960.7803117379772</v>
      </c>
      <c r="I60" s="15">
        <v>0.96965413250400523</v>
      </c>
      <c r="J60" s="16">
        <v>722.13855259906973</v>
      </c>
      <c r="K60" s="16">
        <v>3.9928671944656307</v>
      </c>
      <c r="L60" s="16">
        <v>8.1393062041030166</v>
      </c>
      <c r="M60" s="19">
        <v>42506.405775683015</v>
      </c>
      <c r="N60" s="20">
        <v>1483.18137396</v>
      </c>
      <c r="O60" s="21">
        <f t="shared" si="2"/>
        <v>43989.587149643012</v>
      </c>
      <c r="P60" s="17">
        <v>56.554256151142354</v>
      </c>
      <c r="Q60" s="10" t="s">
        <v>14</v>
      </c>
      <c r="R60" s="10" t="s">
        <v>15</v>
      </c>
      <c r="S60" s="10" t="s">
        <v>15</v>
      </c>
    </row>
    <row r="61" spans="1:19" s="18" customFormat="1" x14ac:dyDescent="0.25">
      <c r="A61" s="10">
        <v>57</v>
      </c>
      <c r="B61" s="11" t="s">
        <v>80</v>
      </c>
      <c r="C61" s="12" t="s">
        <v>104</v>
      </c>
      <c r="D61" s="12" t="s">
        <v>163</v>
      </c>
      <c r="E61" s="35" t="s">
        <v>17</v>
      </c>
      <c r="F61" s="13">
        <v>13.95</v>
      </c>
      <c r="G61" s="10" t="s">
        <v>14</v>
      </c>
      <c r="H61" s="14">
        <v>644.54635560256872</v>
      </c>
      <c r="I61" s="15">
        <v>1.0185745140388769</v>
      </c>
      <c r="J61" s="16">
        <v>82.344141727954963</v>
      </c>
      <c r="K61" s="16">
        <v>1.4482637992353888</v>
      </c>
      <c r="L61" s="16">
        <v>1.1877295708015092</v>
      </c>
      <c r="M61" s="19">
        <v>6449.1715349707774</v>
      </c>
      <c r="N61" s="20">
        <v>282.42397169999998</v>
      </c>
      <c r="O61" s="21">
        <f t="shared" si="2"/>
        <v>6731.5955066707775</v>
      </c>
      <c r="P61" s="17">
        <v>23.033709576441339</v>
      </c>
      <c r="Q61" s="10" t="s">
        <v>15</v>
      </c>
      <c r="R61" s="10" t="s">
        <v>15</v>
      </c>
      <c r="S61" s="10" t="s">
        <v>14</v>
      </c>
    </row>
    <row r="62" spans="1:19" s="18" customFormat="1" x14ac:dyDescent="0.25">
      <c r="A62" s="10">
        <v>58</v>
      </c>
      <c r="B62" s="11" t="s">
        <v>81</v>
      </c>
      <c r="C62" s="12" t="s">
        <v>104</v>
      </c>
      <c r="D62" s="12" t="s">
        <v>164</v>
      </c>
      <c r="E62" s="35" t="s">
        <v>17</v>
      </c>
      <c r="F62" s="13">
        <v>87.47999999999999</v>
      </c>
      <c r="G62" s="10" t="s">
        <v>14</v>
      </c>
      <c r="H62" s="14">
        <v>3471.7818157204911</v>
      </c>
      <c r="I62" s="15">
        <v>0.93634408602150543</v>
      </c>
      <c r="J62" s="16">
        <v>429.53853206492971</v>
      </c>
      <c r="K62" s="16">
        <v>10.025136295949885</v>
      </c>
      <c r="L62" s="16">
        <v>7.865876170668372</v>
      </c>
      <c r="M62" s="19">
        <v>29117.678350439292</v>
      </c>
      <c r="N62" s="20">
        <v>1771.07161608</v>
      </c>
      <c r="O62" s="21">
        <f t="shared" si="2"/>
        <v>30888.749966519292</v>
      </c>
      <c r="P62" s="17">
        <v>0</v>
      </c>
      <c r="Q62" s="10" t="s">
        <v>14</v>
      </c>
      <c r="R62" s="10" t="s">
        <v>15</v>
      </c>
      <c r="S62" s="10" t="s">
        <v>14</v>
      </c>
    </row>
    <row r="63" spans="1:19" s="18" customFormat="1" x14ac:dyDescent="0.25">
      <c r="A63" s="10">
        <v>59</v>
      </c>
      <c r="B63" s="11" t="s">
        <v>82</v>
      </c>
      <c r="C63" s="12" t="s">
        <v>104</v>
      </c>
      <c r="D63" s="12" t="s">
        <v>165</v>
      </c>
      <c r="E63" s="35" t="s">
        <v>17</v>
      </c>
      <c r="F63" s="13">
        <v>30.78</v>
      </c>
      <c r="G63" s="10" t="s">
        <v>16</v>
      </c>
      <c r="H63" s="14">
        <v>2772.4570427930394</v>
      </c>
      <c r="I63" s="15">
        <v>0.97273408239700376</v>
      </c>
      <c r="J63" s="16">
        <v>376.03343548210574</v>
      </c>
      <c r="K63" s="16">
        <v>2.5265404399693554</v>
      </c>
      <c r="L63" s="16">
        <v>6.0086314309527626</v>
      </c>
      <c r="M63" s="19">
        <v>67503.433154284154</v>
      </c>
      <c r="N63" s="20">
        <v>623.15482787999997</v>
      </c>
      <c r="O63" s="21">
        <f t="shared" si="2"/>
        <v>68126.587982164157</v>
      </c>
      <c r="P63" s="17">
        <v>660.54820838347132</v>
      </c>
      <c r="Q63" s="10" t="s">
        <v>14</v>
      </c>
      <c r="R63" s="10" t="s">
        <v>15</v>
      </c>
      <c r="S63" s="10" t="s">
        <v>15</v>
      </c>
    </row>
    <row r="64" spans="1:19" s="18" customFormat="1" x14ac:dyDescent="0.25">
      <c r="A64" s="10">
        <v>60</v>
      </c>
      <c r="B64" s="11" t="s">
        <v>83</v>
      </c>
      <c r="C64" s="12" t="s">
        <v>105</v>
      </c>
      <c r="D64" s="12" t="s">
        <v>166</v>
      </c>
      <c r="E64" s="35" t="s">
        <v>17</v>
      </c>
      <c r="F64" s="13">
        <v>43.379999999999995</v>
      </c>
      <c r="G64" s="10" t="s">
        <v>16</v>
      </c>
      <c r="H64" s="14">
        <v>4724.7571664513589</v>
      </c>
      <c r="I64" s="15">
        <v>0.98156002212797344</v>
      </c>
      <c r="J64" s="16">
        <v>669.6263879122854</v>
      </c>
      <c r="K64" s="16">
        <v>10.991897372164896</v>
      </c>
      <c r="L64" s="16">
        <v>12.547673615609774</v>
      </c>
      <c r="M64" s="19">
        <v>31524.17182252077</v>
      </c>
      <c r="N64" s="20">
        <v>878.24744748000001</v>
      </c>
      <c r="O64" s="21">
        <f t="shared" si="2"/>
        <v>32402.41927000077</v>
      </c>
      <c r="P64" s="17">
        <v>344.85860279299982</v>
      </c>
      <c r="Q64" s="10" t="s">
        <v>14</v>
      </c>
      <c r="R64" s="10" t="s">
        <v>16</v>
      </c>
      <c r="S64" s="10" t="s">
        <v>15</v>
      </c>
    </row>
    <row r="65" spans="1:19" s="18" customFormat="1" x14ac:dyDescent="0.25">
      <c r="A65" s="10">
        <v>61</v>
      </c>
      <c r="B65" s="11" t="s">
        <v>84</v>
      </c>
      <c r="C65" s="12" t="s">
        <v>105</v>
      </c>
      <c r="D65" s="12" t="s">
        <v>167</v>
      </c>
      <c r="E65" s="35" t="s">
        <v>17</v>
      </c>
      <c r="F65" s="13">
        <v>55.8</v>
      </c>
      <c r="G65" s="10" t="s">
        <v>15</v>
      </c>
      <c r="H65" s="14">
        <v>4238.0840483086504</v>
      </c>
      <c r="I65" s="15">
        <v>0.88494575045207957</v>
      </c>
      <c r="J65" s="16">
        <v>584.96639160609857</v>
      </c>
      <c r="K65" s="16">
        <v>4.0657959451336136</v>
      </c>
      <c r="L65" s="16">
        <v>14.012475310906918</v>
      </c>
      <c r="M65" s="19">
        <v>43193.605137752573</v>
      </c>
      <c r="N65" s="20">
        <v>1129.6958867999999</v>
      </c>
      <c r="O65" s="21">
        <f t="shared" si="2"/>
        <v>44323.301024552573</v>
      </c>
      <c r="P65" s="17">
        <v>19.996485217005141</v>
      </c>
      <c r="Q65" s="10" t="s">
        <v>14</v>
      </c>
      <c r="R65" s="10" t="s">
        <v>16</v>
      </c>
      <c r="S65" s="10" t="s">
        <v>14</v>
      </c>
    </row>
    <row r="66" spans="1:19" s="18" customFormat="1" x14ac:dyDescent="0.25">
      <c r="A66" s="10">
        <v>62</v>
      </c>
      <c r="B66" s="11" t="s">
        <v>85</v>
      </c>
      <c r="C66" s="12" t="s">
        <v>105</v>
      </c>
      <c r="D66" s="12" t="s">
        <v>168</v>
      </c>
      <c r="E66" s="35" t="s">
        <v>17</v>
      </c>
      <c r="F66" s="13">
        <v>70.289999999999992</v>
      </c>
      <c r="G66" s="10" t="s">
        <v>15</v>
      </c>
      <c r="H66" s="14">
        <v>6033.5502638967118</v>
      </c>
      <c r="I66" s="15">
        <v>1.0016474464579901</v>
      </c>
      <c r="J66" s="16">
        <v>642.01798810423566</v>
      </c>
      <c r="K66" s="16">
        <v>4.9658849908614915</v>
      </c>
      <c r="L66" s="16">
        <v>11.256005979286046</v>
      </c>
      <c r="M66" s="19">
        <v>120424.98235281723</v>
      </c>
      <c r="N66" s="20">
        <v>1423.05239934</v>
      </c>
      <c r="O66" s="21">
        <f t="shared" si="2"/>
        <v>121848.03475215723</v>
      </c>
      <c r="P66" s="17">
        <v>46.507529275886043</v>
      </c>
      <c r="Q66" s="10" t="s">
        <v>14</v>
      </c>
      <c r="R66" s="10" t="s">
        <v>16</v>
      </c>
      <c r="S66" s="10" t="s">
        <v>14</v>
      </c>
    </row>
    <row r="67" spans="1:19" s="18" customFormat="1" x14ac:dyDescent="0.25">
      <c r="A67" s="10">
        <v>63</v>
      </c>
      <c r="B67" s="11" t="s">
        <v>86</v>
      </c>
      <c r="C67" s="12" t="s">
        <v>105</v>
      </c>
      <c r="D67" s="12" t="s">
        <v>169</v>
      </c>
      <c r="E67" s="35" t="s">
        <v>17</v>
      </c>
      <c r="F67" s="13">
        <v>87.570000000000007</v>
      </c>
      <c r="G67" s="10" t="s">
        <v>15</v>
      </c>
      <c r="H67" s="14">
        <v>8966.2861557128053</v>
      </c>
      <c r="I67" s="15">
        <v>1.0013135672734097</v>
      </c>
      <c r="J67" s="16">
        <v>1094.6183379970064</v>
      </c>
      <c r="K67" s="16">
        <v>16.814413794116842</v>
      </c>
      <c r="L67" s="16">
        <v>6.8098375866173209</v>
      </c>
      <c r="M67" s="19">
        <v>45156.754868570431</v>
      </c>
      <c r="N67" s="20">
        <v>1772.89370622</v>
      </c>
      <c r="O67" s="21">
        <f t="shared" si="2"/>
        <v>46929.64857479043</v>
      </c>
      <c r="P67" s="17">
        <v>5.9878119203563012</v>
      </c>
      <c r="Q67" s="10" t="s">
        <v>14</v>
      </c>
      <c r="R67" s="10" t="s">
        <v>16</v>
      </c>
      <c r="S67" s="10" t="s">
        <v>14</v>
      </c>
    </row>
    <row r="68" spans="1:19" s="18" customFormat="1" x14ac:dyDescent="0.25">
      <c r="A68" s="10">
        <v>64</v>
      </c>
      <c r="B68" s="11" t="s">
        <v>87</v>
      </c>
      <c r="C68" s="12" t="s">
        <v>105</v>
      </c>
      <c r="D68" s="12" t="s">
        <v>170</v>
      </c>
      <c r="E68" s="35" t="s">
        <v>17</v>
      </c>
      <c r="F68" s="13">
        <v>66.33</v>
      </c>
      <c r="G68" s="10" t="s">
        <v>15</v>
      </c>
      <c r="H68" s="14">
        <v>6471.9501275984976</v>
      </c>
      <c r="I68" s="15">
        <v>0.92686056458511545</v>
      </c>
      <c r="J68" s="16">
        <v>857.65909571061104</v>
      </c>
      <c r="K68" s="16">
        <v>26.57737566272413</v>
      </c>
      <c r="L68" s="16">
        <v>5.8182903477855525</v>
      </c>
      <c r="M68" s="19">
        <v>46488.201727008622</v>
      </c>
      <c r="N68" s="20">
        <v>1342.88043318</v>
      </c>
      <c r="O68" s="21">
        <f t="shared" si="2"/>
        <v>47831.08216018862</v>
      </c>
      <c r="P68" s="17">
        <v>0</v>
      </c>
      <c r="Q68" s="10" t="s">
        <v>14</v>
      </c>
      <c r="R68" s="10" t="s">
        <v>16</v>
      </c>
      <c r="S68" s="10" t="s">
        <v>14</v>
      </c>
    </row>
    <row r="69" spans="1:19" s="18" customFormat="1" x14ac:dyDescent="0.25">
      <c r="A69" s="10">
        <v>65</v>
      </c>
      <c r="B69" s="11" t="s">
        <v>88</v>
      </c>
      <c r="C69" s="12" t="s">
        <v>105</v>
      </c>
      <c r="D69" s="12" t="s">
        <v>171</v>
      </c>
      <c r="E69" s="35" t="s">
        <v>17</v>
      </c>
      <c r="F69" s="13">
        <v>13.86</v>
      </c>
      <c r="G69" s="10" t="s">
        <v>16</v>
      </c>
      <c r="H69" s="14">
        <v>1093.4544600203617</v>
      </c>
      <c r="I69" s="15">
        <v>1.0093716719914803</v>
      </c>
      <c r="J69" s="16">
        <v>142.44811653222646</v>
      </c>
      <c r="K69" s="16">
        <v>4.056699819876262</v>
      </c>
      <c r="L69" s="16">
        <v>1.9961538796216529</v>
      </c>
      <c r="M69" s="19">
        <v>15100.359153714653</v>
      </c>
      <c r="N69" s="20">
        <v>280.60188155999998</v>
      </c>
      <c r="O69" s="21">
        <f t="shared" si="2"/>
        <v>15380.961035274653</v>
      </c>
      <c r="P69" s="17">
        <v>39.339909976317806</v>
      </c>
      <c r="Q69" s="10" t="s">
        <v>14</v>
      </c>
      <c r="R69" s="10" t="s">
        <v>16</v>
      </c>
      <c r="S69" s="10" t="s">
        <v>15</v>
      </c>
    </row>
    <row r="70" spans="1:19" s="18" customFormat="1" x14ac:dyDescent="0.25">
      <c r="A70" s="10">
        <v>66</v>
      </c>
      <c r="B70" s="11" t="s">
        <v>89</v>
      </c>
      <c r="C70" s="12" t="s">
        <v>105</v>
      </c>
      <c r="D70" s="12" t="s">
        <v>172</v>
      </c>
      <c r="E70" s="35" t="s">
        <v>17</v>
      </c>
      <c r="F70" s="13">
        <v>45.18</v>
      </c>
      <c r="G70" s="10" t="s">
        <v>15</v>
      </c>
      <c r="H70" s="14">
        <v>3094.9955909036948</v>
      </c>
      <c r="I70" s="15">
        <v>0.99169829222011385</v>
      </c>
      <c r="J70" s="16">
        <v>461.46653326323991</v>
      </c>
      <c r="K70" s="16">
        <v>8.1088368464786562</v>
      </c>
      <c r="L70" s="16">
        <v>10.518805839313224</v>
      </c>
      <c r="M70" s="19">
        <v>74400.29124121432</v>
      </c>
      <c r="N70" s="20">
        <v>914.68925028000012</v>
      </c>
      <c r="O70" s="21">
        <f t="shared" si="2"/>
        <v>75314.980491494323</v>
      </c>
      <c r="P70" s="17">
        <v>9270.4081347284464</v>
      </c>
      <c r="Q70" s="10" t="s">
        <v>14</v>
      </c>
      <c r="R70" s="10" t="s">
        <v>16</v>
      </c>
      <c r="S70" s="10" t="s">
        <v>14</v>
      </c>
    </row>
    <row r="71" spans="1:19" s="18" customFormat="1" x14ac:dyDescent="0.25">
      <c r="A71" s="10">
        <v>67</v>
      </c>
      <c r="B71" s="11" t="s">
        <v>90</v>
      </c>
      <c r="C71" s="12" t="s">
        <v>105</v>
      </c>
      <c r="D71" s="12" t="s">
        <v>173</v>
      </c>
      <c r="E71" s="35" t="s">
        <v>17</v>
      </c>
      <c r="F71" s="13">
        <v>87.3</v>
      </c>
      <c r="G71" s="10" t="s">
        <v>15</v>
      </c>
      <c r="H71" s="14">
        <v>21613.669082009696</v>
      </c>
      <c r="I71" s="15">
        <v>0.99271921494143711</v>
      </c>
      <c r="J71" s="16">
        <v>2798.2748692355681</v>
      </c>
      <c r="K71" s="16">
        <v>68.669321944431118</v>
      </c>
      <c r="L71" s="16">
        <v>38.912615768510967</v>
      </c>
      <c r="M71" s="19">
        <v>53175.41872854581</v>
      </c>
      <c r="N71" s="20">
        <v>1767.4274358</v>
      </c>
      <c r="O71" s="21">
        <f t="shared" si="2"/>
        <v>54942.846164345807</v>
      </c>
      <c r="P71" s="17">
        <v>418.33752076567504</v>
      </c>
      <c r="Q71" s="10" t="s">
        <v>14</v>
      </c>
      <c r="R71" s="10" t="s">
        <v>16</v>
      </c>
      <c r="S71" s="10" t="s">
        <v>14</v>
      </c>
    </row>
    <row r="72" spans="1:19" s="18" customFormat="1" x14ac:dyDescent="0.25">
      <c r="A72" s="10">
        <v>68</v>
      </c>
      <c r="B72" s="11" t="s">
        <v>91</v>
      </c>
      <c r="C72" s="12" t="s">
        <v>105</v>
      </c>
      <c r="D72" s="12" t="s">
        <v>22</v>
      </c>
      <c r="E72" s="35" t="s">
        <v>17</v>
      </c>
      <c r="F72" s="13">
        <v>88.829999999999984</v>
      </c>
      <c r="G72" s="10" t="s">
        <v>15</v>
      </c>
      <c r="H72" s="14">
        <v>7727.4381496439255</v>
      </c>
      <c r="I72" s="15">
        <v>1.0026223776223777</v>
      </c>
      <c r="J72" s="16">
        <v>1114.7613742720723</v>
      </c>
      <c r="K72" s="16">
        <v>8.432385584508868</v>
      </c>
      <c r="L72" s="16">
        <v>17.202066592398086</v>
      </c>
      <c r="M72" s="19">
        <v>203715.61666785288</v>
      </c>
      <c r="N72" s="20">
        <v>1798.4029681799998</v>
      </c>
      <c r="O72" s="21">
        <f t="shared" si="2"/>
        <v>205514.01963603287</v>
      </c>
      <c r="P72" s="17">
        <v>0</v>
      </c>
      <c r="Q72" s="10" t="s">
        <v>14</v>
      </c>
      <c r="R72" s="10" t="s">
        <v>16</v>
      </c>
      <c r="S72" s="10" t="s">
        <v>14</v>
      </c>
    </row>
    <row r="73" spans="1:19" s="18" customFormat="1" x14ac:dyDescent="0.25">
      <c r="A73" s="10">
        <v>69</v>
      </c>
      <c r="B73" s="11" t="s">
        <v>92</v>
      </c>
      <c r="C73" s="12" t="s">
        <v>105</v>
      </c>
      <c r="D73" s="12" t="s">
        <v>174</v>
      </c>
      <c r="E73" s="35" t="s">
        <v>17</v>
      </c>
      <c r="F73" s="13">
        <v>21.15</v>
      </c>
      <c r="G73" s="10" t="s">
        <v>16</v>
      </c>
      <c r="H73" s="14">
        <v>2231.4608655794359</v>
      </c>
      <c r="I73" s="15">
        <v>0.9691091954022989</v>
      </c>
      <c r="J73" s="16">
        <v>319.94313030744922</v>
      </c>
      <c r="K73" s="16">
        <v>0</v>
      </c>
      <c r="L73" s="16">
        <v>6.4585636143488481</v>
      </c>
      <c r="M73" s="19">
        <v>7066.4786323821572</v>
      </c>
      <c r="N73" s="20">
        <v>428.1911829</v>
      </c>
      <c r="O73" s="21">
        <f t="shared" si="2"/>
        <v>7494.6698152821573</v>
      </c>
      <c r="P73" s="17">
        <v>6.609112391638071</v>
      </c>
      <c r="Q73" s="10" t="s">
        <v>14</v>
      </c>
      <c r="R73" s="10" t="s">
        <v>16</v>
      </c>
      <c r="S73" s="10" t="s">
        <v>15</v>
      </c>
    </row>
    <row r="74" spans="1:19" s="18" customFormat="1" x14ac:dyDescent="0.25">
      <c r="A74" s="10">
        <v>70</v>
      </c>
      <c r="B74" s="11" t="s">
        <v>93</v>
      </c>
      <c r="C74" s="12" t="s">
        <v>106</v>
      </c>
      <c r="D74" s="12" t="s">
        <v>175</v>
      </c>
      <c r="E74" s="35" t="s">
        <v>17</v>
      </c>
      <c r="F74" s="13">
        <v>61.919999999999995</v>
      </c>
      <c r="G74" s="10" t="s">
        <v>14</v>
      </c>
      <c r="H74" s="14">
        <v>3606.3757160807745</v>
      </c>
      <c r="I74" s="15">
        <v>0.96601941747572817</v>
      </c>
      <c r="J74" s="16">
        <v>442.56018046719629</v>
      </c>
      <c r="K74" s="16">
        <v>0</v>
      </c>
      <c r="L74" s="16">
        <v>24.551340853742136</v>
      </c>
      <c r="M74" s="19">
        <v>76325.983799212176</v>
      </c>
      <c r="N74" s="20">
        <v>1253.5980163199999</v>
      </c>
      <c r="O74" s="21">
        <f t="shared" si="2"/>
        <v>77579.581815532176</v>
      </c>
      <c r="P74" s="17">
        <v>0</v>
      </c>
      <c r="Q74" s="10" t="s">
        <v>14</v>
      </c>
      <c r="R74" s="10" t="s">
        <v>15</v>
      </c>
      <c r="S74" s="10" t="s">
        <v>14</v>
      </c>
    </row>
    <row r="75" spans="1:19" s="18" customFormat="1" x14ac:dyDescent="0.25">
      <c r="A75" s="10">
        <v>71</v>
      </c>
      <c r="B75" s="11" t="s">
        <v>94</v>
      </c>
      <c r="C75" s="12" t="s">
        <v>106</v>
      </c>
      <c r="D75" s="12" t="s">
        <v>176</v>
      </c>
      <c r="E75" s="35" t="s">
        <v>17</v>
      </c>
      <c r="F75" s="13">
        <v>166.23</v>
      </c>
      <c r="G75" s="10" t="s">
        <v>15</v>
      </c>
      <c r="H75" s="14">
        <v>12286.105373342638</v>
      </c>
      <c r="I75" s="15">
        <v>0.97161735996395859</v>
      </c>
      <c r="J75" s="16">
        <v>1683.5024424284718</v>
      </c>
      <c r="K75" s="16">
        <v>9.3579902302861129</v>
      </c>
      <c r="L75" s="16">
        <v>25.801315920646001</v>
      </c>
      <c r="M75" s="19">
        <v>63244.409286872607</v>
      </c>
      <c r="N75" s="20">
        <v>3365.40048858</v>
      </c>
      <c r="O75" s="21">
        <f t="shared" si="2"/>
        <v>66609.80977545261</v>
      </c>
      <c r="P75" s="17">
        <v>48.356426379102835</v>
      </c>
      <c r="Q75" s="10" t="s">
        <v>14</v>
      </c>
      <c r="R75" s="10" t="s">
        <v>16</v>
      </c>
      <c r="S75" s="10" t="s">
        <v>14</v>
      </c>
    </row>
    <row r="76" spans="1:19" s="18" customFormat="1" x14ac:dyDescent="0.25">
      <c r="A76" s="10">
        <v>72</v>
      </c>
      <c r="B76" s="11" t="s">
        <v>95</v>
      </c>
      <c r="C76" s="12" t="s">
        <v>106</v>
      </c>
      <c r="D76" s="12" t="s">
        <v>177</v>
      </c>
      <c r="E76" s="35" t="s">
        <v>17</v>
      </c>
      <c r="F76" s="13">
        <v>122.03999999999999</v>
      </c>
      <c r="G76" s="10" t="s">
        <v>15</v>
      </c>
      <c r="H76" s="14">
        <v>39748.057458563533</v>
      </c>
      <c r="I76" s="15">
        <v>1.0325112107623318</v>
      </c>
      <c r="J76" s="16">
        <v>6102.1562746645614</v>
      </c>
      <c r="K76" s="16">
        <v>43.847829518547748</v>
      </c>
      <c r="L76" s="16">
        <v>82.823677979479072</v>
      </c>
      <c r="M76" s="19">
        <v>18473.926008580387</v>
      </c>
      <c r="N76" s="20">
        <v>2470.7542298400003</v>
      </c>
      <c r="O76" s="21">
        <f t="shared" si="2"/>
        <v>20944.680238420387</v>
      </c>
      <c r="P76" s="17">
        <v>759.40001816118036</v>
      </c>
      <c r="Q76" s="10" t="s">
        <v>14</v>
      </c>
      <c r="R76" s="10" t="s">
        <v>15</v>
      </c>
      <c r="S76" s="10" t="s">
        <v>14</v>
      </c>
    </row>
    <row r="77" spans="1:19" s="18" customFormat="1" x14ac:dyDescent="0.25">
      <c r="A77" s="10">
        <v>73</v>
      </c>
      <c r="B77" s="11" t="s">
        <v>96</v>
      </c>
      <c r="C77" s="12" t="s">
        <v>106</v>
      </c>
      <c r="D77" s="12" t="s">
        <v>178</v>
      </c>
      <c r="E77" s="35" t="s">
        <v>17</v>
      </c>
      <c r="F77" s="13">
        <v>127.16999999999999</v>
      </c>
      <c r="G77" s="10" t="s">
        <v>14</v>
      </c>
      <c r="H77" s="14">
        <v>15113.693392354373</v>
      </c>
      <c r="I77" s="15">
        <v>0.79295902196060675</v>
      </c>
      <c r="J77" s="16">
        <v>1315.8522121381829</v>
      </c>
      <c r="K77" s="16">
        <v>19.0841510099809</v>
      </c>
      <c r="L77" s="16">
        <v>26.308865320902243</v>
      </c>
      <c r="M77" s="19">
        <v>65389.007102803742</v>
      </c>
      <c r="N77" s="20">
        <v>2574.6133678199999</v>
      </c>
      <c r="O77" s="21">
        <f t="shared" si="2"/>
        <v>67963.620470623748</v>
      </c>
      <c r="P77" s="17">
        <v>0</v>
      </c>
      <c r="Q77" s="10" t="s">
        <v>14</v>
      </c>
      <c r="R77" s="10" t="s">
        <v>15</v>
      </c>
      <c r="S77" s="10" t="s">
        <v>14</v>
      </c>
    </row>
    <row r="78" spans="1:19" s="18" customFormat="1" x14ac:dyDescent="0.25">
      <c r="A78" s="10">
        <v>74</v>
      </c>
      <c r="B78" s="10"/>
      <c r="C78" s="12" t="s">
        <v>106</v>
      </c>
      <c r="D78" s="12" t="s">
        <v>179</v>
      </c>
      <c r="E78" s="35" t="s">
        <v>17</v>
      </c>
      <c r="F78" s="13">
        <v>103.59</v>
      </c>
      <c r="G78" s="10" t="s">
        <v>14</v>
      </c>
      <c r="H78" s="14">
        <v>11668.94104248439</v>
      </c>
      <c r="I78" s="15">
        <v>0.9828957836117741</v>
      </c>
      <c r="J78" s="16">
        <v>1629.2042057310202</v>
      </c>
      <c r="K78" s="16">
        <v>4.6816212808362643</v>
      </c>
      <c r="L78" s="16">
        <v>37.140862161301037</v>
      </c>
      <c r="M78" s="19">
        <v>33626.132575550575</v>
      </c>
      <c r="N78" s="20">
        <v>2097.2257511399998</v>
      </c>
      <c r="O78" s="21">
        <f t="shared" si="2"/>
        <v>35723.358326690577</v>
      </c>
      <c r="P78" s="17">
        <v>229.37098311383136</v>
      </c>
      <c r="Q78" s="10" t="s">
        <v>14</v>
      </c>
      <c r="R78" s="10" t="s">
        <v>16</v>
      </c>
      <c r="S78" s="10" t="s">
        <v>14</v>
      </c>
    </row>
    <row r="79" spans="1:19" s="18" customFormat="1" x14ac:dyDescent="0.25">
      <c r="A79" s="10">
        <v>75</v>
      </c>
      <c r="B79" s="10"/>
      <c r="C79" s="12" t="s">
        <v>106</v>
      </c>
      <c r="D79" s="12" t="s">
        <v>180</v>
      </c>
      <c r="E79" s="35" t="s">
        <v>17</v>
      </c>
      <c r="F79" s="13">
        <v>89.37</v>
      </c>
      <c r="G79" s="10" t="s">
        <v>14</v>
      </c>
      <c r="H79" s="14">
        <v>3960.4608238704495</v>
      </c>
      <c r="I79" s="15">
        <v>1.0420705699883677</v>
      </c>
      <c r="J79" s="16">
        <v>464.93020115027161</v>
      </c>
      <c r="K79" s="16">
        <v>7.5201003016622989</v>
      </c>
      <c r="L79" s="16">
        <v>5.3653023306090635</v>
      </c>
      <c r="M79" s="19">
        <v>26070.738049519638</v>
      </c>
      <c r="N79" s="20">
        <v>1809.33550902</v>
      </c>
      <c r="O79" s="21">
        <f t="shared" si="2"/>
        <v>27880.073558539636</v>
      </c>
      <c r="P79" s="17">
        <v>12.271010606832279</v>
      </c>
      <c r="Q79" s="10" t="s">
        <v>14</v>
      </c>
      <c r="R79" s="10" t="s">
        <v>15</v>
      </c>
      <c r="S79" s="10" t="s">
        <v>14</v>
      </c>
    </row>
    <row r="80" spans="1:19" s="18" customFormat="1" x14ac:dyDescent="0.25">
      <c r="A80" s="10">
        <v>76</v>
      </c>
      <c r="B80" s="10"/>
      <c r="C80" s="12" t="s">
        <v>106</v>
      </c>
      <c r="D80" s="12" t="s">
        <v>181</v>
      </c>
      <c r="E80" s="35" t="s">
        <v>17</v>
      </c>
      <c r="F80" s="13">
        <v>76.319999999999993</v>
      </c>
      <c r="G80" s="10" t="s">
        <v>14</v>
      </c>
      <c r="H80" s="14">
        <v>11735.232132562911</v>
      </c>
      <c r="I80" s="15">
        <v>0.94808917197452225</v>
      </c>
      <c r="J80" s="16">
        <v>1530.9326862490113</v>
      </c>
      <c r="K80" s="16">
        <v>32.613854218337337</v>
      </c>
      <c r="L80" s="16">
        <v>32.933597887144565</v>
      </c>
      <c r="M80" s="19">
        <v>64514.07974674258</v>
      </c>
      <c r="N80" s="20">
        <v>1545.13243872</v>
      </c>
      <c r="O80" s="21">
        <f t="shared" si="2"/>
        <v>66059.212185462573</v>
      </c>
      <c r="P80" s="17">
        <v>0</v>
      </c>
      <c r="Q80" s="10" t="s">
        <v>14</v>
      </c>
      <c r="R80" s="10" t="s">
        <v>15</v>
      </c>
      <c r="S80" s="10" t="s">
        <v>14</v>
      </c>
    </row>
    <row r="83" spans="13:16" x14ac:dyDescent="0.25">
      <c r="M83" s="8"/>
      <c r="P83" s="9"/>
    </row>
    <row r="84" spans="13:16" x14ac:dyDescent="0.25">
      <c r="M84" s="8"/>
      <c r="P84" s="9"/>
    </row>
    <row r="85" spans="13:16" x14ac:dyDescent="0.25">
      <c r="M85" s="8"/>
      <c r="P85" s="9"/>
    </row>
    <row r="86" spans="13:16" x14ac:dyDescent="0.25">
      <c r="M86" s="8"/>
      <c r="P86" s="9"/>
    </row>
    <row r="87" spans="13:16" x14ac:dyDescent="0.25">
      <c r="M87" s="8"/>
      <c r="P87" s="9"/>
    </row>
    <row r="88" spans="13:16" x14ac:dyDescent="0.25">
      <c r="M88" s="8"/>
      <c r="P88" s="9"/>
    </row>
    <row r="89" spans="13:16" x14ac:dyDescent="0.25">
      <c r="M89" s="8"/>
      <c r="P89" s="9"/>
    </row>
    <row r="90" spans="13:16" x14ac:dyDescent="0.25">
      <c r="M90" s="8"/>
      <c r="P90" s="9"/>
    </row>
    <row r="91" spans="13:16" x14ac:dyDescent="0.25">
      <c r="M91" s="8"/>
      <c r="P91" s="9"/>
    </row>
    <row r="92" spans="13:16" x14ac:dyDescent="0.25">
      <c r="M92" s="8"/>
      <c r="P92" s="9"/>
    </row>
    <row r="93" spans="13:16" x14ac:dyDescent="0.25">
      <c r="M93" s="8"/>
      <c r="P93" s="9"/>
    </row>
    <row r="94" spans="13:16" x14ac:dyDescent="0.25">
      <c r="M94" s="8"/>
      <c r="P94" s="9"/>
    </row>
    <row r="95" spans="13:16" x14ac:dyDescent="0.25">
      <c r="M95" s="8"/>
      <c r="P95" s="9"/>
    </row>
    <row r="96" spans="13:16" x14ac:dyDescent="0.25">
      <c r="M96" s="8"/>
      <c r="P96" s="9"/>
    </row>
    <row r="97" spans="13:16" x14ac:dyDescent="0.25">
      <c r="M97" s="8"/>
      <c r="P97" s="9"/>
    </row>
    <row r="98" spans="13:16" x14ac:dyDescent="0.25">
      <c r="M98" s="8"/>
      <c r="P98" s="9"/>
    </row>
    <row r="99" spans="13:16" x14ac:dyDescent="0.25">
      <c r="M99" s="8"/>
      <c r="P99" s="9"/>
    </row>
    <row r="100" spans="13:16" x14ac:dyDescent="0.25">
      <c r="M100" s="8"/>
      <c r="P100" s="9"/>
    </row>
    <row r="101" spans="13:16" x14ac:dyDescent="0.25">
      <c r="M101" s="8"/>
      <c r="P101" s="9"/>
    </row>
    <row r="102" spans="13:16" x14ac:dyDescent="0.25">
      <c r="M102" s="8"/>
      <c r="P102" s="9"/>
    </row>
    <row r="103" spans="13:16" x14ac:dyDescent="0.25">
      <c r="M103" s="8"/>
      <c r="P103" s="9"/>
    </row>
    <row r="104" spans="13:16" x14ac:dyDescent="0.25">
      <c r="M104" s="8"/>
      <c r="P104" s="9"/>
    </row>
    <row r="105" spans="13:16" x14ac:dyDescent="0.25">
      <c r="M105" s="8"/>
      <c r="P105" s="9"/>
    </row>
    <row r="106" spans="13:16" x14ac:dyDescent="0.25">
      <c r="M106" s="8"/>
      <c r="P106" s="9"/>
    </row>
    <row r="107" spans="13:16" x14ac:dyDescent="0.25">
      <c r="M107" s="8"/>
      <c r="P107" s="9"/>
    </row>
    <row r="108" spans="13:16" x14ac:dyDescent="0.25">
      <c r="M108" s="8"/>
      <c r="P108" s="9"/>
    </row>
    <row r="109" spans="13:16" x14ac:dyDescent="0.25">
      <c r="M109" s="8"/>
      <c r="P109" s="9"/>
    </row>
    <row r="110" spans="13:16" x14ac:dyDescent="0.25">
      <c r="M110" s="8"/>
      <c r="P110" s="9"/>
    </row>
    <row r="111" spans="13:16" x14ac:dyDescent="0.25">
      <c r="M111" s="8"/>
      <c r="P111" s="9"/>
    </row>
    <row r="112" spans="13:16" x14ac:dyDescent="0.25">
      <c r="M112" s="8"/>
      <c r="P112" s="9"/>
    </row>
    <row r="113" spans="13:16" x14ac:dyDescent="0.25">
      <c r="M113" s="8"/>
      <c r="P113" s="9"/>
    </row>
    <row r="114" spans="13:16" x14ac:dyDescent="0.25">
      <c r="M114" s="8"/>
      <c r="P114" s="9"/>
    </row>
    <row r="115" spans="13:16" x14ac:dyDescent="0.25">
      <c r="M115" s="8"/>
      <c r="P115" s="9"/>
    </row>
    <row r="116" spans="13:16" x14ac:dyDescent="0.25">
      <c r="M116" s="8"/>
      <c r="P116" s="9"/>
    </row>
    <row r="117" spans="13:16" x14ac:dyDescent="0.25">
      <c r="M117" s="8"/>
      <c r="P117" s="9"/>
    </row>
    <row r="118" spans="13:16" x14ac:dyDescent="0.25">
      <c r="M118" s="8"/>
      <c r="P118" s="9"/>
    </row>
    <row r="119" spans="13:16" x14ac:dyDescent="0.25">
      <c r="M119" s="8"/>
      <c r="P119" s="9"/>
    </row>
    <row r="120" spans="13:16" x14ac:dyDescent="0.25">
      <c r="M120" s="8"/>
      <c r="P120" s="9"/>
    </row>
    <row r="121" spans="13:16" x14ac:dyDescent="0.25">
      <c r="M121" s="8"/>
      <c r="P121" s="9"/>
    </row>
    <row r="122" spans="13:16" x14ac:dyDescent="0.25">
      <c r="M122" s="8"/>
      <c r="P122" s="9"/>
    </row>
    <row r="123" spans="13:16" x14ac:dyDescent="0.25">
      <c r="M123" s="8"/>
      <c r="P123" s="9"/>
    </row>
    <row r="124" spans="13:16" x14ac:dyDescent="0.25">
      <c r="M124" s="8"/>
      <c r="P124" s="9"/>
    </row>
    <row r="125" spans="13:16" x14ac:dyDescent="0.25">
      <c r="M125" s="8"/>
      <c r="P125" s="9"/>
    </row>
    <row r="126" spans="13:16" x14ac:dyDescent="0.25">
      <c r="M126" s="8"/>
      <c r="P126" s="9"/>
    </row>
    <row r="127" spans="13:16" x14ac:dyDescent="0.25">
      <c r="M127" s="8"/>
      <c r="P127" s="9"/>
    </row>
    <row r="128" spans="13:16" x14ac:dyDescent="0.25">
      <c r="M128" s="8"/>
      <c r="P128" s="9"/>
    </row>
    <row r="129" spans="13:16" x14ac:dyDescent="0.25">
      <c r="M129" s="8"/>
      <c r="P129" s="9"/>
    </row>
    <row r="130" spans="13:16" x14ac:dyDescent="0.25">
      <c r="M130" s="8"/>
      <c r="P130" s="9"/>
    </row>
    <row r="131" spans="13:16" x14ac:dyDescent="0.25">
      <c r="M131" s="8"/>
      <c r="P131" s="9"/>
    </row>
    <row r="132" spans="13:16" x14ac:dyDescent="0.25">
      <c r="M132" s="8"/>
      <c r="P132" s="9"/>
    </row>
    <row r="133" spans="13:16" x14ac:dyDescent="0.25">
      <c r="M133" s="8"/>
      <c r="P133" s="9"/>
    </row>
    <row r="134" spans="13:16" x14ac:dyDescent="0.25">
      <c r="M134" s="8"/>
      <c r="P134" s="9"/>
    </row>
    <row r="135" spans="13:16" x14ac:dyDescent="0.25">
      <c r="M135" s="8"/>
      <c r="P135" s="9"/>
    </row>
    <row r="136" spans="13:16" x14ac:dyDescent="0.25">
      <c r="M136" s="8"/>
      <c r="P136" s="9"/>
    </row>
    <row r="137" spans="13:16" x14ac:dyDescent="0.25">
      <c r="M137" s="8"/>
      <c r="P137" s="9"/>
    </row>
    <row r="138" spans="13:16" x14ac:dyDescent="0.25">
      <c r="M138" s="8"/>
      <c r="P138" s="9"/>
    </row>
    <row r="139" spans="13:16" x14ac:dyDescent="0.25">
      <c r="M139" s="8"/>
      <c r="P139" s="9"/>
    </row>
    <row r="140" spans="13:16" x14ac:dyDescent="0.25">
      <c r="M140" s="8"/>
      <c r="P140" s="9"/>
    </row>
    <row r="141" spans="13:16" x14ac:dyDescent="0.25">
      <c r="M141" s="8"/>
      <c r="P141" s="9"/>
    </row>
    <row r="142" spans="13:16" x14ac:dyDescent="0.25">
      <c r="M142" s="8"/>
      <c r="P142" s="9"/>
    </row>
    <row r="143" spans="13:16" x14ac:dyDescent="0.25">
      <c r="M143" s="8"/>
      <c r="P143" s="9"/>
    </row>
    <row r="144" spans="13:16" x14ac:dyDescent="0.25">
      <c r="M144" s="8"/>
      <c r="P144" s="9"/>
    </row>
    <row r="145" spans="13:16" x14ac:dyDescent="0.25">
      <c r="M145" s="8"/>
      <c r="P145" s="9"/>
    </row>
    <row r="146" spans="13:16" x14ac:dyDescent="0.25">
      <c r="M146" s="8"/>
      <c r="P146" s="9"/>
    </row>
    <row r="147" spans="13:16" x14ac:dyDescent="0.25">
      <c r="M147" s="8"/>
      <c r="P147" s="9"/>
    </row>
    <row r="148" spans="13:16" x14ac:dyDescent="0.25">
      <c r="M148" s="8"/>
      <c r="P148" s="9"/>
    </row>
    <row r="149" spans="13:16" x14ac:dyDescent="0.25">
      <c r="M149" s="8"/>
      <c r="P149" s="9"/>
    </row>
    <row r="150" spans="13:16" x14ac:dyDescent="0.25">
      <c r="M150" s="8"/>
      <c r="P150" s="9"/>
    </row>
    <row r="151" spans="13:16" x14ac:dyDescent="0.25">
      <c r="M151" s="8"/>
      <c r="P151" s="9"/>
    </row>
    <row r="152" spans="13:16" x14ac:dyDescent="0.25">
      <c r="M152" s="8"/>
      <c r="P152" s="9"/>
    </row>
    <row r="153" spans="13:16" x14ac:dyDescent="0.25">
      <c r="M153" s="8"/>
      <c r="P153" s="9"/>
    </row>
    <row r="154" spans="13:16" x14ac:dyDescent="0.25">
      <c r="M154" s="8"/>
      <c r="P154" s="9"/>
    </row>
    <row r="155" spans="13:16" x14ac:dyDescent="0.25">
      <c r="M155" s="8"/>
      <c r="P155" s="9"/>
    </row>
    <row r="156" spans="13:16" x14ac:dyDescent="0.25">
      <c r="M156" s="8"/>
      <c r="P156" s="9"/>
    </row>
    <row r="157" spans="13:16" x14ac:dyDescent="0.25">
      <c r="M157" s="8"/>
      <c r="P157" s="9"/>
    </row>
    <row r="158" spans="13:16" x14ac:dyDescent="0.25">
      <c r="M158" s="8"/>
      <c r="P158" s="9"/>
    </row>
  </sheetData>
  <mergeCells count="15">
    <mergeCell ref="A1:S1"/>
    <mergeCell ref="S3:S4"/>
    <mergeCell ref="M3:N3"/>
    <mergeCell ref="O3:O4"/>
    <mergeCell ref="P3:P4"/>
    <mergeCell ref="Q3:Q4"/>
    <mergeCell ref="R3:R4"/>
    <mergeCell ref="I3:L3"/>
    <mergeCell ref="H3:H4"/>
    <mergeCell ref="A3:A4"/>
    <mergeCell ref="C3:C4"/>
    <mergeCell ref="D3:D4"/>
    <mergeCell ref="E3:E4"/>
    <mergeCell ref="F3:G3"/>
    <mergeCell ref="B3:B4"/>
  </mergeCells>
  <printOptions horizontalCentered="1"/>
  <pageMargins left="0.25" right="0.25" top="0.75" bottom="0.75" header="0.3" footer="0.3"/>
  <pageSetup paperSize="8" scale="70" orientation="landscape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TSUNAMI</vt:lpstr>
      <vt:lpstr>TSUNAMI!Print_Titles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ARWAN</dc:creator>
  <cp:lastModifiedBy>Windows User</cp:lastModifiedBy>
  <cp:lastPrinted>2014-02-11T05:47:46Z</cp:lastPrinted>
  <dcterms:created xsi:type="dcterms:W3CDTF">2013-10-29T13:43:53Z</dcterms:created>
  <dcterms:modified xsi:type="dcterms:W3CDTF">2014-02-11T05:48:12Z</dcterms:modified>
</cp:coreProperties>
</file>